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22c569491148be" /></Relationships>
</file>

<file path=xl/workbook.xml><?xml version="1.0" encoding="utf-8"?>
<x:workbook xmlns:x="http://schemas.openxmlformats.org/spreadsheetml/2006/main">
  <x:sheets>
    <x:sheet xmlns:r="http://schemas.openxmlformats.org/officeDocument/2006/relationships" name="Tong_hop" sheetId="1" r:id="R33284b5356c144b7"/>
    <x:sheet xmlns:r="http://schemas.openxmlformats.org/officeDocument/2006/relationships" name="Compile" sheetId="2" r:id="R59ef673655b64436"/>
    <x:sheet xmlns:r="http://schemas.openxmlformats.org/officeDocument/2006/relationships" name="Timing" sheetId="3" r:id="R63dc34740e6f4b17"/>
    <x:sheet xmlns:r="http://schemas.openxmlformats.org/officeDocument/2006/relationships" name="Mo_phong" sheetId="4" r:id="R100473048eda4446"/>
    <x:sheet xmlns:r="http://schemas.openxmlformats.org/officeDocument/2006/relationships" name="Ghi_chu" sheetId="5" r:id="R81ad7ddaec5144f6"/>
    <x:sheet xmlns:r="http://schemas.openxmlformats.org/officeDocument/2006/relationships" name="So_sanh_BU" sheetId="6" r:id="Rb001105128254981"/>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dd/mm/yyyy hh:mm:ss"/>
    <x:numFmt numFmtId="201" formatCode="#,##0"/>
    <x:numFmt numFmtId="202" formatCode="0.00"/>
    <x:numFmt numFmtId="203" formatCode="0.000"/>
    <x:numFmt numFmtId="204" formatCode="0.0%"/>
    <x:numFmt numFmtId="205" formatCode="0.00&quot;x&quot;"/>
    <x:numFmt numFmtId="206" formatCode="General"/>
  </x:numFmts>
  <x:fonts count="7">
    <x:font>
      <x:sz val="11"/>
      <x:name val="Carlito"/>
    </x:font>
    <x:font>
      <x:sz val="10"/>
      <x:color rgb="FF202B36"/>
      <x:name val="Arial"/>
    </x:font>
    <x:font>
      <x:b/>
      <x:sz val="15"/>
      <x:color rgb="FF202B36"/>
      <x:name val="Arial"/>
    </x:font>
    <x:font>
      <x:b/>
      <x:sz val="10"/>
      <x:color rgb="FFFFFFFF"/>
      <x:name val="Arial"/>
    </x:font>
    <x:font>
      <x:b/>
      <x:sz val="13"/>
      <x:color rgb="FF202B36"/>
      <x:name val="Arial"/>
    </x:font>
    <x:font>
      <x:b/>
      <x:sz val="15"/>
      <x:color rgb="FF243B58"/>
      <x:name val="Arial"/>
    </x:font>
    <x:font>
      <x:b/>
      <x:sz val="12"/>
      <x:color rgb="FF243B58"/>
      <x:name val="Arial"/>
    </x:font>
  </x:fonts>
  <x:fills count="5">
    <x:fill>
      <x:patternFill patternType="none"/>
    </x:fill>
    <x:fill>
      <x:patternFill patternType="gray125"/>
    </x:fill>
    <x:fill>
      <x:patternFill patternType="solid">
        <x:fgColor rgb="FF233B59"/>
      </x:patternFill>
    </x:fill>
    <x:fill>
      <x:patternFill patternType="solid">
        <x:fgColor rgb="FFFFF2CC"/>
      </x:patternFill>
    </x:fill>
    <x:fill>
      <x:patternFill patternType="solid">
        <x:fgColor rgb="FF243B58"/>
      </x:patternFill>
    </x:fill>
  </x:fills>
  <x:borders count="1">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4"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203" fontId="1" fillId="0"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4"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5" fillId="0" borderId="0" xfId="0" applyNumberFormat="1" applyFont="1" applyFill="1" applyBorder="1"/>
    <x:xf numFmtId="201" fontId="0" fillId="0" borderId="0" xfId="0" applyNumberFormat="1" applyFont="1" applyFill="1" applyBorder="1"/>
    <x:xf numFmtId="203" fontId="0" fillId="0" borderId="0" xfId="0" applyNumberFormat="1" applyFont="1" applyFill="1" applyBorder="1"/>
    <x:xf numFmtId="202" fontId="0" fillId="0" borderId="0" xfId="0" applyNumberFormat="1" applyFont="1" applyFill="1" applyBorder="1"/>
    <x:xf numFmtId="206" fontId="0" fillId="0" borderId="0" xfId="0" applyNumberFormat="1" applyFont="1" applyFill="1" applyBorder="1"/>
    <x:xf numFmtId="201" fontId="1" fillId="0" borderId="0" xfId="0" applyNumberFormat="1" applyFont="1" applyFill="1" applyBorder="1"/>
    <x:xf numFmtId="203" fontId="1" fillId="0" borderId="0" xfId="0" applyNumberFormat="1" applyFont="1" applyFill="1" applyBorder="1"/>
    <x:xf numFmtId="202" fontId="1" fillId="0" borderId="0" xfId="0" applyNumberFormat="1" applyFont="1" applyFill="1" applyBorder="1"/>
    <x:xf numFmtId="206" fontId="1" fillId="0" borderId="0" xfId="0" applyNumberFormat="1" applyFont="1" applyFill="1" applyBorder="1"/>
    <x:xf numFmtId="201" fontId="1" fillId="0" borderId="0" xfId="0" applyNumberFormat="1" applyFont="1" applyFill="1" applyBorder="1" applyAlignment="1">
      <x:alignment wrapText="1"/>
    </x:xf>
    <x:xf numFmtId="203" fontId="1" fillId="0" borderId="0" xfId="0" applyNumberFormat="1" applyFont="1" applyFill="1" applyBorder="1" applyAlignment="1">
      <x:alignment wrapText="1"/>
    </x:xf>
    <x:xf numFmtId="202" fontId="1" fillId="0" borderId="0" xfId="0" applyNumberFormat="1" applyFont="1" applyFill="1" applyBorder="1" applyAlignment="1">
      <x:alignment wrapText="1"/>
    </x:xf>
    <x:xf numFmtId="206" fontId="1" fillId="0" borderId="0" xfId="0" applyNumberFormat="1" applyFont="1" applyFill="1" applyBorder="1" applyAlignment="1">
      <x:alignment wrapText="1"/>
    </x:xf>
    <x:xf numFmtId="206"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202" fontId="1" fillId="0" borderId="0" xfId="0" applyNumberFormat="1" applyFont="1" applyFill="1" applyBorder="1" applyAlignment="1">
      <x:alignment horizontal="right" vertical="center" wrapText="1"/>
    </x:xf>
    <x:xf numFmtId="0" fontId="6" fillId="0" borderId="0" xfId="0" applyNumberFormat="1" applyFont="1" applyFill="1" applyBorder="1"/>
    <x:xf numFmtId="0" fontId="1" fillId="0" borderId="0" xfId="0" applyNumberFormat="1" applyFont="1" applyFill="1" applyBorder="1" applyAlignment="1">
      <x:alignment wrapText="0"/>
    </x:xf>
  </x:cellXfs>
  <x:cellStyles count="1">
    <x:cellStyle name="Normal" xfId="0"/>
  </x:cellStyles>
  <x:dxfs count="55">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x:bgColor rgb="FFFCE8E6"/>
        </x:patternFill>
      </x:fill>
    </x:dxf>
    <x:dxf>
      <x:font>
        <x:b/>
        <x:color rgb="FFA02721"/>
      </x:font>
      <x:fill>
        <x:patternFill patternType="solid">
          <x:bgColor rgb="FFFCE8E6"/>
        </x:patternFill>
      </x:fill>
    </x:dxf>
    <x:dxf>
      <x:font>
        <x:b/>
        <x:color rgb="FFA02721"/>
      </x:font>
      <x:fill>
        <x:patternFill patternType="solid">
          <x:bgColor rgb="FFFCE8E6"/>
        </x:patternFill>
      </x:fill>
    </x:dxf>
    <x:dxf>
      <x:font>
        <x:b/>
        <x:color rgb="FFA02721"/>
      </x:font>
      <x:fill>
        <x:patternFill patternType="solid">
          <x:bgColor rgb="FFFCE8E6"/>
        </x:patternFill>
      </x:fill>
    </x:dxf>
    <x:dxf>
      <x:font>
        <x:b/>
        <x:color rgb="FFA02721"/>
      </x:font>
      <x:fill>
        <x:patternFill patternType="solid">
          <x:bgColor rgb="FFFCE8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d213892a204040" /><Relationship Type="http://schemas.openxmlformats.org/officeDocument/2006/relationships/theme" Target="/xl/theme/theme1.xml" Id="R3adc460feae3416d" /><Relationship Type="http://schemas.openxmlformats.org/officeDocument/2006/relationships/sharedStrings" Target="/xl/sharedStrings.xml" Id="Rf8554775133b46f3" /><Relationship Type="http://schemas.openxmlformats.org/officeDocument/2006/relationships/worksheet" Target="/xl/worksheets/sheet1.xml" Id="R33284b5356c144b7" /><Relationship Type="http://schemas.openxmlformats.org/officeDocument/2006/relationships/worksheet" Target="/xl/worksheets/sheet2.xml" Id="R59ef673655b64436" /><Relationship Type="http://schemas.openxmlformats.org/officeDocument/2006/relationships/worksheet" Target="/xl/worksheets/sheet3.xml" Id="R63dc34740e6f4b17" /><Relationship Type="http://schemas.openxmlformats.org/officeDocument/2006/relationships/worksheet" Target="/xl/worksheets/sheet4.xml" Id="R100473048eda4446" /><Relationship Type="http://schemas.openxmlformats.org/officeDocument/2006/relationships/worksheet" Target="/xl/worksheets/sheet5.xml" Id="R81ad7ddaec5144f6" /><Relationship Type="http://schemas.openxmlformats.org/officeDocument/2006/relationships/worksheet" Target="/xl/worksheets/sheet6.xml" Id="Rb001105128254981" /></Relationships>
</file>

<file path=xl/tables/table1.xml><?xml version="1.0" encoding="utf-8"?>
<x:table xmlns:x="http://schemas.openxmlformats.org/spreadsheetml/2006/main" id="5" name="ArchitectureOverview" displayName="ArchitectureOverview" ref="A5:L15" headerRowCount="1" totalsRowCount="0" totalsRowShown="0">
  <x:autoFilter ref="A5:L15"/>
  <x:tableColumns count="12">
    <x:tableColumn id="1" name="Mã"/>
    <x:tableColumn id="2" name="Kiến trúc"/>
    <x:tableColumn id="3" name="Compile chọn"/>
    <x:tableColumn id="4" name="Sim chọn"/>
    <x:tableColumn id="5" name="ALM"/>
    <x:tableColumn id="6" name="DSP"/>
    <x:tableColumn id="7" name="M10K"/>
    <x:tableColumn id="8" name="Setup min (ns)"/>
    <x:tableColumn id="9" name="Hold min (ns)"/>
    <x:tableColumn id="10" name="STA theo SDC"/>
    <x:tableColumn id="11" name="Regression"/>
    <x:tableColumn id="12" name="Ghi chú ngắn"/>
  </x:tableColumns>
  <x:tableStyleInfo name="TableStyleMedium2" showFirstColumn="0" showLastColumn="0" showRowStripes="1" showColumnStripes="0"/>
</x:table>
</file>

<file path=xl/tables/table2.xml><?xml version="1.0" encoding="utf-8"?>
<x:table xmlns:x="http://schemas.openxmlformats.org/spreadsheetml/2006/main" id="1" name="CompileRuns" displayName="CompileRuns" ref="A5:AO26" headerRowCount="1" totalsRowCount="0" totalsRowShown="0">
  <x:autoFilter ref="A5:AO26"/>
  <x:tableColumns count="41">
    <x:tableColumn id="1" name="Run ID"/>
    <x:tableColumn id="2" name="Kiến trúc"/>
    <x:tableColumn id="3" name="Kết thúc STA"/>
    <x:tableColumn id="4" name="Trạng thái"/>
    <x:tableColumn id="5" name="Device"/>
    <x:tableColumn id="6" name="Quartus"/>
    <x:tableColumn id="7" name="Seed"/>
    <x:tableColumn id="8" name="Clock (MHz)"/>
    <x:tableColumn id="9" name="ALM needed"/>
    <x:tableColumn id="10" name="ALM tổng"/>
    <x:tableColumn id="11" name="ALM (%)"/>
    <x:tableColumn id="12" name="ALM placed"/>
    <x:tableColumn id="13" name="ALUT logic"/>
    <x:tableColumn id="14" name="Registers"/>
    <x:tableColumn id="15" name="Reg thiết kế"/>
    <x:tableColumn id="16" name="Reg routing"/>
    <x:tableColumn id="17" name="LAB dùng"/>
    <x:tableColumn id="18" name="LAB tổng"/>
    <x:tableColumn id="19" name="LAB (%)"/>
    <x:tableColumn id="20" name="RAM logic (bit)"/>
    <x:tableColumn id="21" name="RAM vật lý (bit)"/>
    <x:tableColumn id="22" name="M10K"/>
    <x:tableColumn id="23" name="M10K tổng"/>
    <x:tableColumn id="24" name="M10K (%)"/>
    <x:tableColumn id="25" name="DSP"/>
    <x:tableColumn id="26" name="DSP tổng"/>
    <x:tableColumn id="27" name="DSP (%)"/>
    <x:tableColumn id="28" name="Pins"/>
    <x:tableColumn id="29" name="PLL"/>
    <x:tableColumn id="30" name="Warnings"/>
    <x:tableColumn id="31" name="Errors"/>
    <x:tableColumn id="32" name="Compile (phút)"/>
    <x:tableColumn id="33" name="Peak RAM (MB)"/>
    <x:tableColumn id="34" name="Power (W)"/>
    <x:tableColumn id="35" name="Power ghi chú"/>
    <x:tableColumn id="36" name="RTL khớp sim"/>
    <x:tableColumn id="37" name="SDC khớp sim"/>
    <x:tableColumn id="38" name="QSF khớp sim"/>
    <x:tableColumn id="39" name="SOF SHA256"/>
    <x:tableColumn id="40" name="RTL set SHA256"/>
    <x:tableColumn id="41" name="Nguồn báo cáo"/>
  </x:tableColumns>
  <x:tableStyleInfo name="TableStyleMedium2" showFirstColumn="0" showLastColumn="0" showRowStripes="1" showColumnStripes="0"/>
</x:table>
</file>

<file path=xl/tables/table3.xml><?xml version="1.0" encoding="utf-8"?>
<x:table xmlns:x="http://schemas.openxmlformats.org/spreadsheetml/2006/main" id="2" name="TimingCorners" displayName="TimingCorners" ref="A5:T89" headerRowCount="1" totalsRowCount="0" totalsRowShown="0">
  <x:autoFilter ref="A5:T89"/>
  <x:tableColumns count="20">
    <x:tableColumn id="1" name="Run ID"/>
    <x:tableColumn id="2" name="Corner"/>
    <x:tableColumn id="3" name="Period (ns)"/>
    <x:tableColumn id="4" name="Setup WNS (ns)"/>
    <x:tableColumn id="5" name="Setup TNS (ns)"/>
    <x:tableColumn id="6" name="Hold WNS (ns)"/>
    <x:tableColumn id="7" name="Hold TNS (ns)"/>
    <x:tableColumn id="8" name="Min pulse WNS (ns)"/>
    <x:tableColumn id="9" name="Min pulse TNS (ns)"/>
    <x:tableColumn id="10" name="Fmax (MHz)"/>
    <x:tableColumn id="11" name="Restricted Fmax (MHz)"/>
    <x:tableColumn id="12" name="Unconstrained setup"/>
    <x:tableColumn id="13" name="Unconstrained hold"/>
    <x:tableColumn id="14" name="MTBF"/>
    <x:tableColumn id="15" name="Chains"/>
    <x:tableColumn id="16" name="Settling (ns)"/>
    <x:tableColumn id="17" name="Recovery"/>
    <x:tableColumn id="18" name="Removal"/>
    <x:tableColumn id="19" name="Timing status"/>
    <x:tableColumn id="20" name="Nguồn"/>
  </x:tableColumns>
  <x:tableStyleInfo name="TableStyleMedium2" showFirstColumn="0" showLastColumn="0" showRowStripes="1" showColumnStripes="0"/>
</x:table>
</file>

<file path=xl/tables/table4.xml><?xml version="1.0" encoding="utf-8"?>
<x:table xmlns:x="http://schemas.openxmlformats.org/spreadsheetml/2006/main" id="3" name="RegressionRuns" displayName="RegressionRuns" ref="A5:K15" headerRowCount="1" totalsRowCount="0" totalsRowShown="0">
  <x:autoFilter ref="A5:K15"/>
  <x:tableColumns count="11">
    <x:tableColumn id="1" name="Sim ID"/>
    <x:tableColumn id="2" name="Kiến trúc"/>
    <x:tableColumn id="3" name="Ngày bắt đầu"/>
    <x:tableColumn id="4" name="Regression"/>
    <x:tableColumn id="5" name="RTL benches"/>
    <x:tableColumn id="6" name="PLL vendor"/>
    <x:tableColumn id="7" name="Host tests"/>
    <x:tableColumn id="8" name="Inputs unchanged"/>
    <x:tableColumn id="9" name="Service vector SHA256"/>
    <x:tableColumn id="10" name="ACVP phạm vi"/>
    <x:tableColumn id="11" name="Nguồn"/>
  </x:tableColumns>
  <x:tableStyleInfo name="TableStyleMedium2" showFirstColumn="0" showLastColumn="0" showRowStripes="1" showColumnStripes="0"/>
</x:table>
</file>

<file path=xl/tables/table5.xml><?xml version="1.0" encoding="utf-8"?>
<x:table xmlns:x="http://schemas.openxmlformats.org/spreadsheetml/2006/main" id="7" name="OperationCycles" displayName="OperationCycles" ref="A19:L91" headerRowCount="1" totalsRowCount="0" totalsRowShown="0">
  <x:autoFilter ref="A19:L91"/>
  <x:tableColumns count="12">
    <x:tableColumn id="1" name="Record ID"/>
    <x:tableColumn id="2" name="Kiến trúc"/>
    <x:tableColumn id="3" name="Sim ID"/>
    <x:tableColumn id="4" name="Mode"/>
    <x:tableColumn id="5" name="Phép toán"/>
    <x:tableColumn id="6" name="Cycles"/>
    <x:tableColumn id="7" name="Clock quy đổi (MHz)"/>
    <x:tableColumn id="8" name="Latency (µs)"/>
    <x:tableColumn id="9" name="A0 cycles tham chiếu"/>
    <x:tableColumn id="10" name="Speedup chu kỳ"/>
    <x:tableColumn id="11" name="Cơ sở clock"/>
    <x:tableColumn id="12" name="Nguồn"/>
  </x:tableColumns>
  <x:tableStyleInfo name="TableStyleMedium2" showFirstColumn="0" showLastColumn="0" showRowStripes="1" showColumnStripes="0"/>
</x:table>
</file>

<file path=xl/tables/table6.xml><?xml version="1.0" encoding="utf-8"?>
<x:table xmlns:x="http://schemas.openxmlformats.org/spreadsheetml/2006/main" id="6" name="ArchitectureNotes" displayName="ArchitectureNotes" ref="A5:F89" headerRowCount="1" totalsRowCount="0" totalsRowShown="0">
  <x:autoFilter ref="A5:F89"/>
  <x:tableColumns count="6">
    <x:tableColumn id="1" name="Phạm vi"/>
    <x:tableColumn id="2" name="Chủ đề"/>
    <x:tableColumn id="3" name="Số lượng"/>
    <x:tableColumn id="4" name="Phát hiện / ý nghĩa"/>
    <x:tableColumn id="5" name="Việc cần làm / lưu ý"/>
    <x:tableColumn id="6" name="Nguồn"/>
  </x:tableColumns>
  <x:tableStyleInfo name="TableStyleMedium2" showFirstColumn="0" showLastColumn="0" showRowStripes="1" showColumnStripes="0"/>
</x:table>
</file>

<file path=xl/tables/table7.xml><?xml version="1.0" encoding="utf-8"?>
<x:table xmlns:x="http://schemas.openxmlformats.org/spreadsheetml/2006/main" id="8" name="ButterflyComparison" displayName="ButterflyComparison" ref="A5:D23" headerRowCount="1" totalsRowCount="0" totalsRowShown="0">
  <x:tableColumns count="4">
    <x:tableColumn id="1" name="Chỉ tiêu"/>
    <x:tableColumn id="2" name="2BU / 4 bank"/>
    <x:tableColumn id="3" name="4BU / 8 bank"/>
    <x:tableColumn id="4" name="8BU / 16 bank"/>
  </x:tableColumns>
  <x:tableStyleInfo name="TableStyleMedium2" showFirstColumn="0" showLastColumn="0" showRowStripes="1" showColumnStripes="0"/>
</x:table>
</file>

<file path=xl/tables/table8.xml><?xml version="1.0" encoding="utf-8"?>
<x:table xmlns:x="http://schemas.openxmlformats.org/spreadsheetml/2006/main" id="9" name="ButterflyTradeoffs" displayName="ButterflyTradeoffs" ref="A28:C34" headerRowCount="1" totalsRowCount="0" totalsRowShown="0">
  <x:tableColumns count="3">
    <x:tableColumn id="1" name="Chỉ tiêu"/>
    <x:tableColumn id="2" name="Từ 2BU lên 4BU"/>
    <x:tableColumn id="3" name="Từ 4BU lên 8BU"/>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a7599b65e8a4201" /></Relationships>
</file>

<file path=xl/worksheets/_rels/sheet2.xml.rels>&#65279;<?xml version="1.0" encoding="utf-8"?><Relationships xmlns="http://schemas.openxmlformats.org/package/2006/relationships"><Relationship Type="http://schemas.openxmlformats.org/officeDocument/2006/relationships/table" Target="/xl/tables/table2.xml" Id="Raf757bf3cbe74fb1" /></Relationships>
</file>

<file path=xl/worksheets/_rels/sheet3.xml.rels>&#65279;<?xml version="1.0" encoding="utf-8"?><Relationships xmlns="http://schemas.openxmlformats.org/package/2006/relationships"><Relationship Type="http://schemas.openxmlformats.org/officeDocument/2006/relationships/table" Target="/xl/tables/table3.xml" Id="Rccb2797c26074861" /></Relationships>
</file>

<file path=xl/worksheets/_rels/sheet4.xml.rels>&#65279;<?xml version="1.0" encoding="utf-8"?><Relationships xmlns="http://schemas.openxmlformats.org/package/2006/relationships"><Relationship Type="http://schemas.openxmlformats.org/officeDocument/2006/relationships/table" Target="/xl/tables/table4.xml" Id="Re555fd11a54d493b" /><Relationship Type="http://schemas.openxmlformats.org/officeDocument/2006/relationships/table" Target="/xl/tables/table5.xml" Id="Rf046478766064faa" /></Relationships>
</file>

<file path=xl/worksheets/_rels/sheet5.xml.rels>&#65279;<?xml version="1.0" encoding="utf-8"?><Relationships xmlns="http://schemas.openxmlformats.org/package/2006/relationships"><Relationship Type="http://schemas.openxmlformats.org/officeDocument/2006/relationships/table" Target="/xl/tables/table6.xml" Id="R971253041c7b42d1" /></Relationships>
</file>

<file path=xl/worksheets/_rels/sheet6.xml.rels>&#65279;<?xml version="1.0" encoding="utf-8"?><Relationships xmlns="http://schemas.openxmlformats.org/package/2006/relationships"><Relationship Type="http://schemas.openxmlformats.org/officeDocument/2006/relationships/table" Target="/xl/tables/table7.xml" Id="Rad4ab7a764c24818" /><Relationship Type="http://schemas.openxmlformats.org/officeDocument/2006/relationships/table" Target="/xl/tables/table8.xml" Id="R9b20e85cdb9343d0" /></Relationships>
</file>

<file path=xl/worksheets/sheet1.xml><?xml version="1.0" encoding="utf-8"?>
<x:worksheet xmlns:x="http://schemas.openxmlformats.org/spreadsheetml/2006/main">
  <x:sheetPr>
    <x:tabColor rgb="FF233B59"/>
  </x:sheetPr>
  <x:sheetViews>
    <x:sheetView showGridLines="0" workbookViewId="0">
      <x:pane xSplit="2" ySplit="5" topLeftCell="C6" activePane="bottomRight" state="frozen"/>
    </x:sheetView>
  </x:sheetViews>
  <x:sheetFormatPr defaultRowHeight="15"/>
  <x:cols>
    <x:col min="1" max="1" width="6" hidden="0" customWidth="1"/>
    <x:col min="2" max="2" width="28" hidden="0" customWidth="1"/>
    <x:col min="3" max="3" width="28" hidden="0" customWidth="1"/>
    <x:col min="4" max="4" width="28" hidden="0" customWidth="1"/>
    <x:col min="5" max="5" width="11" hidden="0" customWidth="1"/>
    <x:col min="6" max="6" width="11" hidden="0" customWidth="1"/>
    <x:col min="7" max="7" width="11" hidden="0" customWidth="1"/>
    <x:col min="8" max="8" width="15" hidden="0" customWidth="1"/>
    <x:col min="9" max="9" width="15" hidden="0" customWidth="1"/>
    <x:col min="10" max="10" width="22" hidden="0" customWidth="1"/>
    <x:col min="11" max="11" width="22" hidden="0" customWidth="1"/>
    <x:col min="12" max="12" width="37" hidden="0" customWidth="1"/>
    <x:col min="13" max="13" width="17" hidden="0" customWidth="1"/>
  </x:cols>
  <x:sheetData>
    <x:row r="1" ht="23" customHeight="1">
      <x:c r="A1" s="2"/>
      <x:c r="B1" s="2"/>
      <x:c r="C1" s="2"/>
      <x:c r="D1" s="2"/>
      <x:c r="E1" s="2"/>
      <x:c r="F1" s="2"/>
      <x:c r="G1" s="2"/>
      <x:c r="H1" s="2"/>
      <x:c r="I1" s="2"/>
      <x:c r="J1" s="2"/>
      <x:c r="K1" s="2"/>
      <x:c r="L1" s="2"/>
      <x:c r="M1" s="2"/>
    </x:row>
    <x:row r="2" ht="23" customHeight="1">
      <x:c r="A2" s="3" t="str">
        <x:v>ML-KEM: theo dõi kiến trúc A0–A5</x:v>
      </x:c>
      <x:c r="B2" s="2"/>
      <x:c r="C2" s="2"/>
      <x:c r="D2" s="2"/>
      <x:c r="E2" s="2"/>
      <x:c r="F2" s="2"/>
      <x:c r="G2" s="2"/>
      <x:c r="H2" s="2"/>
      <x:c r="I2" s="2"/>
      <x:c r="J2" s="2"/>
      <x:c r="K2" s="2"/>
      <x:c r="L2" s="2"/>
      <x:c r="M2" s="2"/>
    </x:row>
    <x:row r="3" ht="23" customHeight="1">
      <x:c r="A3" s="2" t="str">
        <x:v>25/10: thêm 2BU/4 bank và 8BU/16 bank. 4BU là cấu hình duy nhất trong ba bản đạt timing 160 MHz. Xem So_sanh_BU.</x:v>
      </x:c>
      <x:c r="B3" s="2"/>
      <x:c r="C3" s="2"/>
      <x:c r="D3" s="2"/>
      <x:c r="E3" s="2"/>
      <x:c r="F3" s="2"/>
      <x:c r="G3" s="2"/>
      <x:c r="H3" s="2"/>
      <x:c r="I3" s="2"/>
      <x:c r="J3" s="2"/>
      <x:c r="K3" s="2"/>
      <x:c r="L3" s="2"/>
      <x:c r="M3" s="2"/>
    </x:row>
    <x:row r="4" ht="23" customHeight="1">
      <x:c r="A4" s="2"/>
      <x:c r="B4" s="2"/>
      <x:c r="C4" s="2"/>
      <x:c r="D4" s="2"/>
      <x:c r="E4" s="2"/>
      <x:c r="F4" s="2"/>
      <x:c r="G4" s="2"/>
      <x:c r="H4" s="2"/>
      <x:c r="I4" s="2"/>
      <x:c r="J4" s="2"/>
      <x:c r="K4" s="2"/>
      <x:c r="L4" s="2"/>
      <x:c r="M4" s="2"/>
    </x:row>
    <x:row r="5" ht="42" customHeight="1">
      <x:c r="A5" s="7" t="str">
        <x:v>Mã</x:v>
      </x:c>
      <x:c r="B5" s="7" t="str">
        <x:v>Kiến trúc</x:v>
      </x:c>
      <x:c r="C5" s="7" t="str">
        <x:v>Compile chọn</x:v>
      </x:c>
      <x:c r="D5" s="7" t="str">
        <x:v>Sim chọn</x:v>
      </x:c>
      <x:c r="E5" s="7" t="str">
        <x:v>ALM</x:v>
      </x:c>
      <x:c r="F5" s="7" t="str">
        <x:v>DSP</x:v>
      </x:c>
      <x:c r="G5" s="7" t="str">
        <x:v>M10K</x:v>
      </x:c>
      <x:c r="H5" s="7" t="str">
        <x:v>Setup min (ns)</x:v>
      </x:c>
      <x:c r="I5" s="7" t="str">
        <x:v>Hold min (ns)</x:v>
      </x:c>
      <x:c r="J5" s="7" t="str">
        <x:v>STA theo SDC</x:v>
      </x:c>
      <x:c r="K5" s="7" t="str">
        <x:v>Regression</x:v>
      </x:c>
      <x:c r="L5" s="7" t="str">
        <x:v>Ghi chú ngắn</x:v>
      </x:c>
      <x:c r="M5" s="2"/>
    </x:row>
    <x:row r="6" ht="90" customHeight="1">
      <x:c r="A6" s="12" t="str">
        <x:v>A0</x:v>
      </x:c>
      <x:c r="B6" s="12" t="str">
        <x:v>Iterative in-place</x:v>
      </x:c>
      <x:c r="C6" s="23" t="str">
        <x:v>A0_20261024_000741</x:v>
      </x:c>
      <x:c r="D6" s="23" t="str">
        <x:v>A0_SIM_20261023_233228_764</x:v>
      </x:c>
      <x:c r="E6" s="15" t="n">
        <x:f>IF(COUNTIFS(Compile!$A$6:$A$205,C6,Compile!$D$6:$D$205,"Successful")&lt;&gt;1,"",VLOOKUP(C6,Compile!$A$6:$AO$205,9,FALSE))</x:f>
        <x:v>24673</x:v>
      </x:c>
      <x:c r="F6" s="15" t="n">
        <x:f>IF(COUNTIFS(Compile!$A$6:$A$205,C6,Compile!$D$6:$D$205,"Successful")&lt;&gt;1,"",VLOOKUP(C6,Compile!$A$6:$AO$205,25,FALSE))</x:f>
        <x:v>28</x:v>
      </x:c>
      <x:c r="G6" s="15" t="n">
        <x:f>IF(COUNTIFS(Compile!$A$6:$A$205,C6,Compile!$D$6:$D$205,"Successful")&lt;&gt;1,"",VLOOKUP(C6,Compile!$A$6:$AO$205,22,FALSE))</x:f>
        <x:v>43</x:v>
      </x:c>
      <x:c r="H6" s="18" t="n">
        <x:f>IF(COUNTIFS(Timing!$A$6:$A$405,C6,Timing!$S$6:$S$405,"PASS theo SDC")+COUNTIFS(Timing!$A$6:$A$405,C6,Timing!$S$6:$S$405,"Cần xử lý")&lt;&gt;4,"",MIN(INDEX(Timing!$D$6:$D$405,MATCH(C6,Timing!$A$6:$A$405,0)+0),INDEX(Timing!$D$6:$D$405,MATCH(C6,Timing!$A$6:$A$405,0)+1),INDEX(Timing!$D$6:$D$405,MATCH(C6,Timing!$A$6:$A$405,0)+2),INDEX(Timing!$D$6:$D$405,MATCH(C6,Timing!$A$6:$A$405,0)+3)))</x:f>
        <x:v>0.02</x:v>
      </x:c>
      <x:c r="I6" s="18" t="n">
        <x:f>IF(COUNTIFS(Timing!$A$6:$A$405,C6,Timing!$S$6:$S$405,"PASS theo SDC")+COUNTIFS(Timing!$A$6:$A$405,C6,Timing!$S$6:$S$405,"Cần xử lý")&lt;&gt;4,"",MIN(INDEX(Timing!$F$6:$F$405,MATCH(C6,Timing!$A$6:$A$405,0)+0),INDEX(Timing!$F$6:$F$405,MATCH(C6,Timing!$A$6:$A$405,0)+1),INDEX(Timing!$F$6:$F$405,MATCH(C6,Timing!$A$6:$A$405,0)+2),INDEX(Timing!$F$6:$F$405,MATCH(C6,Timing!$A$6:$A$405,0)+3)))</x:f>
        <x:v>0.145</x:v>
      </x:c>
      <x:c r="J6" s="12" t="str">
        <x:f>IF(COUNTIFS(Timing!$A$6:$A$405,C6,Timing!$S$6:$S$405,"PASS theo SDC")=4,"PASS 4 corners",IF(H6="","Chờ dữ liệu","Cần xử lý"))</x:f>
        <x:v>PASS 4 corners</x:v>
      </x:c>
      <x:c r="K6" s="12" t="str">
        <x:f>VLOOKUP(D6,Mo_phong!$A$6:$K$11,4,FALSE)</x:f>
        <x:v>PASS</x:v>
      </x:c>
      <x:c r="L6" s="12" t="str">
        <x:v>Đạt STA 160 MHz; setup 0.02 ns / hold 0.145 ns. 33/33 RTL khớp regression.</x:v>
      </x:c>
      <x:c r="M6" s="2"/>
    </x:row>
    <x:row r="7" ht="90" customHeight="1">
      <x:c r="A7" s="12" t="str">
        <x:v>A1</x:v>
      </x:c>
      <x:c r="B7" s="12" t="str">
        <x:v>Streaming ping-pong</x:v>
      </x:c>
      <x:c r="C7" s="23" t="str">
        <x:v>A1_20261024_075119</x:v>
      </x:c>
      <x:c r="D7" s="23" t="str">
        <x:v>A1_SIM_20261024_014501_279</x:v>
      </x:c>
      <x:c r="E7" s="15" t="n">
        <x:f>IF(COUNTIFS(Compile!$A$6:$A$205,C7,Compile!$D$6:$D$205,"Successful")&lt;&gt;1,"",VLOOKUP(C7,Compile!$A$6:$AO$205,9,FALSE))</x:f>
        <x:v>24882</x:v>
      </x:c>
      <x:c r="F7" s="15" t="n">
        <x:f>IF(COUNTIFS(Compile!$A$6:$A$205,C7,Compile!$D$6:$D$205,"Successful")&lt;&gt;1,"",VLOOKUP(C7,Compile!$A$6:$AO$205,25,FALSE))</x:f>
        <x:v>28</x:v>
      </x:c>
      <x:c r="G7" s="15" t="n">
        <x:f>IF(COUNTIFS(Compile!$A$6:$A$205,C7,Compile!$D$6:$D$205,"Successful")&lt;&gt;1,"",VLOOKUP(C7,Compile!$A$6:$AO$205,22,FALSE))</x:f>
        <x:v>44</x:v>
      </x:c>
      <x:c r="H7" s="18" t="n">
        <x:f>IF(COUNTIFS(Timing!$A$6:$A$405,C7,Timing!$S$6:$S$405,"PASS theo SDC")+COUNTIFS(Timing!$A$6:$A$405,C7,Timing!$S$6:$S$405,"Cần xử lý")&lt;&gt;4,"",MIN(INDEX(Timing!$D$6:$D$405,MATCH(C7,Timing!$A$6:$A$405,0)+0),INDEX(Timing!$D$6:$D$405,MATCH(C7,Timing!$A$6:$A$405,0)+1),INDEX(Timing!$D$6:$D$405,MATCH(C7,Timing!$A$6:$A$405,0)+2),INDEX(Timing!$D$6:$D$405,MATCH(C7,Timing!$A$6:$A$405,0)+3)))</x:f>
        <x:v>0.075</x:v>
      </x:c>
      <x:c r="I7" s="18" t="n">
        <x:f>IF(COUNTIFS(Timing!$A$6:$A$405,C7,Timing!$S$6:$S$405,"PASS theo SDC")+COUNTIFS(Timing!$A$6:$A$405,C7,Timing!$S$6:$S$405,"Cần xử lý")&lt;&gt;4,"",MIN(INDEX(Timing!$F$6:$F$405,MATCH(C7,Timing!$A$6:$A$405,0)+0),INDEX(Timing!$F$6:$F$405,MATCH(C7,Timing!$A$6:$A$405,0)+1),INDEX(Timing!$F$6:$F$405,MATCH(C7,Timing!$A$6:$A$405,0)+2),INDEX(Timing!$F$6:$F$405,MATCH(C7,Timing!$A$6:$A$405,0)+3)))</x:f>
        <x:v>0.11</x:v>
      </x:c>
      <x:c r="J7" s="12" t="str">
        <x:f>IF(COUNTIFS(Timing!$A$6:$A$405,C7,Timing!$S$6:$S$405,"PASS theo SDC")=4,"PASS 4 corners",IF(H7="","Chờ dữ liệu","Cần xử lý"))</x:f>
        <x:v>PASS 4 corners</x:v>
      </x:c>
      <x:c r="K7" s="12" t="str">
        <x:f>VLOOKUP(D7,Mo_phong!$A$6:$K$11,4,FALSE)</x:f>
        <x:v>PASS</x:v>
      </x:c>
      <x:c r="L7" s="12" t="str">
        <x:v>Đạt STA 160 MHz; setup 0.075 ns / hold 0.11 ns. 33/33 RTL khớp regression.</x:v>
      </x:c>
      <x:c r="M7" s="2"/>
    </x:row>
    <x:row r="8" ht="90" customHeight="1">
      <x:c r="A8" s="12" t="str">
        <x:v>A2</x:v>
      </x:c>
      <x:c r="B8" s="12" t="str">
        <x:v>Continuous banked</x:v>
      </x:c>
      <x:c r="C8" s="23" t="str">
        <x:v>A2_20261025_094051</x:v>
      </x:c>
      <x:c r="D8" s="23" t="str">
        <x:v>A2_SIM_20261025_085959_024</x:v>
      </x:c>
      <x:c r="E8" s="15" t="n">
        <x:f>IF(COUNTIFS(Compile!$A$6:$A$205,C8,Compile!$D$6:$D$205,"Successful")&lt;&gt;1,"",VLOOKUP(C8,Compile!$A$6:$AO$205,9,FALSE))</x:f>
        <x:v>27857</x:v>
      </x:c>
      <x:c r="F8" s="15" t="n">
        <x:f>IF(COUNTIFS(Compile!$A$6:$A$205,C8,Compile!$D$6:$D$205,"Successful")&lt;&gt;1,"",VLOOKUP(C8,Compile!$A$6:$AO$205,25,FALSE))</x:f>
        <x:v>28</x:v>
      </x:c>
      <x:c r="G8" s="15" t="n">
        <x:f>IF(COUNTIFS(Compile!$A$6:$A$205,C8,Compile!$D$6:$D$205,"Successful")&lt;&gt;1,"",VLOOKUP(C8,Compile!$A$6:$AO$205,22,FALSE))</x:f>
        <x:v>45</x:v>
      </x:c>
      <x:c r="H8" s="18" t="n">
        <x:f>IF(COUNTIFS(Timing!$A$6:$A$405,C8,Timing!$S$6:$S$405,"PASS theo SDC")+COUNTIFS(Timing!$A$6:$A$405,C8,Timing!$S$6:$S$405,"Cần xử lý")&lt;&gt;4,"",MIN(INDEX(Timing!$D$6:$D$405,MATCH(C8,Timing!$A$6:$A$405,0)+0),INDEX(Timing!$D$6:$D$405,MATCH(C8,Timing!$A$6:$A$405,0)+1),INDEX(Timing!$D$6:$D$405,MATCH(C8,Timing!$A$6:$A$405,0)+2),INDEX(Timing!$D$6:$D$405,MATCH(C8,Timing!$A$6:$A$405,0)+3)))</x:f>
        <x:v>-0.051</x:v>
      </x:c>
      <x:c r="I8" s="18" t="n">
        <x:f>IF(COUNTIFS(Timing!$A$6:$A$405,C8,Timing!$S$6:$S$405,"PASS theo SDC")+COUNTIFS(Timing!$A$6:$A$405,C8,Timing!$S$6:$S$405,"Cần xử lý")&lt;&gt;4,"",MIN(INDEX(Timing!$F$6:$F$405,MATCH(C8,Timing!$A$6:$A$405,0)+0),INDEX(Timing!$F$6:$F$405,MATCH(C8,Timing!$A$6:$A$405,0)+1),INDEX(Timing!$F$6:$F$405,MATCH(C8,Timing!$A$6:$A$405,0)+2),INDEX(Timing!$F$6:$F$405,MATCH(C8,Timing!$A$6:$A$405,0)+3)))</x:f>
        <x:v>0.121</x:v>
      </x:c>
      <x:c r="J8" s="12" t="str">
        <x:f>IF(COUNTIFS(Timing!$A$6:$A$405,C8,Timing!$S$6:$S$405,"PASS theo SDC")=4,"PASS 4 corners",IF(H8="","Chờ dữ liệu","Cần xử lý"))</x:f>
        <x:v>Cần xử lý</x:v>
      </x:c>
      <x:c r="K8" s="12" t="str">
        <x:f>VLOOKUP(D8,Mo_phong!$A$6:$K$11,4,FALSE)</x:f>
        <x:v>PASS</x:v>
      </x:c>
      <x:c r="L8" s="12" t="str">
        <x:v>Chốt A2, giữ RTL theo yêu cầu. Setup min −0,051 ns (Slow 0°C), TNS −0,092 ns; Slow 85°C +0,007 ns. Hold min +0,121 ns. Chưa đạt timing đầy đủ tại 160 MHz.</x:v>
      </x:c>
      <x:c r="M8" s="2"/>
    </x:row>
    <x:row r="9" ht="90" customHeight="1">
      <x:c r="A9" s="12" t="str">
        <x:v>A3</x:v>
      </x:c>
      <x:c r="B9" s="12" t="str">
        <x:v>Opt V1 (lưu trữ)</x:v>
      </x:c>
      <x:c r="C9" s="23" t="str">
        <x:v>A3_20261024_072633</x:v>
      </x:c>
      <x:c r="D9" s="23" t="str">
        <x:v>A3_SIM_20261024_060402_971</x:v>
      </x:c>
      <x:c r="E9" s="15" t="n">
        <x:f>IF(COUNTIFS(Compile!$A$6:$A$205,C9,Compile!$D$6:$D$205,"Successful")&lt;&gt;1,"",VLOOKUP(C9,Compile!$A$6:$AO$205,9,FALSE))</x:f>
        <x:v>27378</x:v>
      </x:c>
      <x:c r="F9" s="15" t="n">
        <x:f>IF(COUNTIFS(Compile!$A$6:$A$205,C9,Compile!$D$6:$D$205,"Successful")&lt;&gt;1,"",VLOOKUP(C9,Compile!$A$6:$AO$205,25,FALSE))</x:f>
        <x:v>28</x:v>
      </x:c>
      <x:c r="G9" s="15" t="n">
        <x:f>IF(COUNTIFS(Compile!$A$6:$A$205,C9,Compile!$D$6:$D$205,"Successful")&lt;&gt;1,"",VLOOKUP(C9,Compile!$A$6:$AO$205,22,FALSE))</x:f>
        <x:v>45</x:v>
      </x:c>
      <x:c r="H9" s="18" t="n">
        <x:f>IF(COUNTIFS(Timing!$A$6:$A$405,C9,Timing!$S$6:$S$405,"PASS theo SDC")+COUNTIFS(Timing!$A$6:$A$405,C9,Timing!$S$6:$S$405,"Cần xử lý")&lt;&gt;4,"",MIN(INDEX(Timing!$D$6:$D$405,MATCH(C9,Timing!$A$6:$A$405,0)+0),INDEX(Timing!$D$6:$D$405,MATCH(C9,Timing!$A$6:$A$405,0)+1),INDEX(Timing!$D$6:$D$405,MATCH(C9,Timing!$A$6:$A$405,0)+2),INDEX(Timing!$D$6:$D$405,MATCH(C9,Timing!$A$6:$A$405,0)+3)))</x:f>
        <x:v>-0.508</x:v>
      </x:c>
      <x:c r="I9" s="18" t="n">
        <x:f>IF(COUNTIFS(Timing!$A$6:$A$405,C9,Timing!$S$6:$S$405,"PASS theo SDC")+COUNTIFS(Timing!$A$6:$A$405,C9,Timing!$S$6:$S$405,"Cần xử lý")&lt;&gt;4,"",MIN(INDEX(Timing!$F$6:$F$405,MATCH(C9,Timing!$A$6:$A$405,0)+0),INDEX(Timing!$F$6:$F$405,MATCH(C9,Timing!$A$6:$A$405,0)+1),INDEX(Timing!$F$6:$F$405,MATCH(C9,Timing!$A$6:$A$405,0)+2),INDEX(Timing!$F$6:$F$405,MATCH(C9,Timing!$A$6:$A$405,0)+3)))</x:f>
        <x:v>0.133</x:v>
      </x:c>
      <x:c r="J9" s="12" t="str">
        <x:f>IF(COUNTIFS(Timing!$A$6:$A$405,C9,Timing!$S$6:$S$405,"PASS theo SDC")=4,"PASS 4 corners",IF(H9="","Chờ dữ liệu","Cần xử lý"))</x:f>
        <x:v>Cần xử lý</x:v>
      </x:c>
      <x:c r="K9" s="12" t="str">
        <x:f>VLOOKUP(D9,Mo_phong!$A$6:$K$11,4,FALSE)</x:f>
        <x:v>PASS</x:v>
      </x:c>
      <x:c r="L9" s="12" t="str">
        <x:v>Đã bỏ khỏi project hoạt động. Giữ số liệu cũ để tra lịch sử; không dùng làm bản triển khai hiện tại.</x:v>
      </x:c>
      <x:c r="M9" s="2"/>
    </x:row>
    <x:row r="10" ht="90" customHeight="1">
      <x:c r="A10" s="12" t="str">
        <x:v>A4</x:v>
      </x:c>
      <x:c r="B10" s="12" t="str">
        <x:v>Banked cycle-opt (giữ V2)</x:v>
      </x:c>
      <x:c r="C10" s="23" t="str">
        <x:v>A4_20261025_055016</x:v>
      </x:c>
      <x:c r="D10" s="23" t="str">
        <x:v>A4_SIM_20261025_060635_998</x:v>
      </x:c>
      <x:c r="E10" s="15" t="n">
        <x:f>IF(COUNTIFS(Compile!$A$6:$A$205,C10,Compile!$D$6:$D$205,"Successful")&lt;&gt;1,"",VLOOKUP(C10,Compile!$A$6:$AO$205,9,FALSE))</x:f>
        <x:v>28952</x:v>
      </x:c>
      <x:c r="F10" s="15" t="n">
        <x:f>IF(COUNTIFS(Compile!$A$6:$A$205,C10,Compile!$D$6:$D$205,"Successful")&lt;&gt;1,"",VLOOKUP(C10,Compile!$A$6:$AO$205,25,FALSE))</x:f>
        <x:v>28</x:v>
      </x:c>
      <x:c r="G10" s="15" t="n">
        <x:f>IF(COUNTIFS(Compile!$A$6:$A$205,C10,Compile!$D$6:$D$205,"Successful")&lt;&gt;1,"",VLOOKUP(C10,Compile!$A$6:$AO$205,22,FALSE))</x:f>
        <x:v>45</x:v>
      </x:c>
      <x:c r="H10" s="18" t="n">
        <x:f>IF(COUNTIFS(Timing!$A$6:$A$405,C10,Timing!$S$6:$S$405,"PASS theo SDC")+COUNTIFS(Timing!$A$6:$A$405,C10,Timing!$S$6:$S$405,"Cần xử lý")&lt;&gt;4,"",MIN(INDEX(Timing!$D$6:$D$405,MATCH(C10,Timing!$A$6:$A$405,0)+0),INDEX(Timing!$D$6:$D$405,MATCH(C10,Timing!$A$6:$A$405,0)+1),INDEX(Timing!$D$6:$D$405,MATCH(C10,Timing!$A$6:$A$405,0)+2),INDEX(Timing!$D$6:$D$405,MATCH(C10,Timing!$A$6:$A$405,0)+3)))</x:f>
        <x:v>0.006</x:v>
      </x:c>
      <x:c r="I10" s="18" t="n">
        <x:f>IF(COUNTIFS(Timing!$A$6:$A$405,C10,Timing!$S$6:$S$405,"PASS theo SDC")+COUNTIFS(Timing!$A$6:$A$405,C10,Timing!$S$6:$S$405,"Cần xử lý")&lt;&gt;4,"",MIN(INDEX(Timing!$F$6:$F$405,MATCH(C10,Timing!$A$6:$A$405,0)+0),INDEX(Timing!$F$6:$F$405,MATCH(C10,Timing!$A$6:$A$405,0)+1),INDEX(Timing!$F$6:$F$405,MATCH(C10,Timing!$A$6:$A$405,0)+2),INDEX(Timing!$F$6:$F$405,MATCH(C10,Timing!$A$6:$A$405,0)+3)))</x:f>
        <x:v>0.127</x:v>
      </x:c>
      <x:c r="J10" s="12" t="str">
        <x:f>IF(COUNTIFS(Timing!$A$6:$A$405,C10,Timing!$S$6:$S$405,"PASS theo SDC")=4,"PASS 4 corners",IF(H10="","Chờ dữ liệu","Cần xử lý"))</x:f>
        <x:v>PASS 4 corners</x:v>
      </x:c>
      <x:c r="K10" s="12" t="str">
        <x:f>VLOOKUP(D10,Mo_phong!$A$6:$K$11,4,FALSE)</x:f>
        <x:v>PASS</x:v>
      </x:c>
      <x:c r="L10" s="12" t="str">
        <x:v>Đạt 160 MHz. Giữ mã A4; tên project mới bỏ v2. Setup +0,006 ns nên biên nhỏ.</x:v>
      </x:c>
      <x:c r="M10" s="2"/>
    </x:row>
    <x:row r="11" ht="90" customHeight="1">
      <x:c r="A11" s="12" t="str">
        <x:v>A5</x:v>
      </x:c>
      <x:c r="B11" s="12" t="str">
        <x:v>Streaming-Balanced 4BU</x:v>
      </x:c>
      <x:c r="C11" s="23" t="str">
        <x:v>A5_20261024_063318</x:v>
      </x:c>
      <x:c r="D11" s="23" t="str">
        <x:v>A5_SIM_20261024_012050_666</x:v>
      </x:c>
      <x:c r="E11" s="15" t="n">
        <x:f>IF(COUNTIFS(Compile!$A$6:$A$205,C11,Compile!$D$6:$D$205,"Successful")&lt;&gt;1,"",VLOOKUP(C11,Compile!$A$6:$AO$205,9,FALSE))</x:f>
        <x:v>27176</x:v>
      </x:c>
      <x:c r="F11" s="15" t="n">
        <x:f>IF(COUNTIFS(Compile!$A$6:$A$205,C11,Compile!$D$6:$D$205,"Successful")&lt;&gt;1,"",VLOOKUP(C11,Compile!$A$6:$AO$205,25,FALSE))</x:f>
        <x:v>40</x:v>
      </x:c>
      <x:c r="G11" s="15" t="n">
        <x:f>IF(COUNTIFS(Compile!$A$6:$A$205,C11,Compile!$D$6:$D$205,"Successful")&lt;&gt;1,"",VLOOKUP(C11,Compile!$A$6:$AO$205,22,FALSE))</x:f>
        <x:v>55</x:v>
      </x:c>
      <x:c r="H11" s="18" t="n">
        <x:f>IF(COUNTIFS(Timing!$A$6:$A$405,C11,Timing!$S$6:$S$405,"PASS theo SDC")+COUNTIFS(Timing!$A$6:$A$405,C11,Timing!$S$6:$S$405,"Cần xử lý")&lt;&gt;4,"",MIN(INDEX(Timing!$D$6:$D$405,MATCH(C11,Timing!$A$6:$A$405,0)+0),INDEX(Timing!$D$6:$D$405,MATCH(C11,Timing!$A$6:$A$405,0)+1),INDEX(Timing!$D$6:$D$405,MATCH(C11,Timing!$A$6:$A$405,0)+2),INDEX(Timing!$D$6:$D$405,MATCH(C11,Timing!$A$6:$A$405,0)+3)))</x:f>
        <x:v>0.091</x:v>
      </x:c>
      <x:c r="I11" s="18" t="n">
        <x:f>IF(COUNTIFS(Timing!$A$6:$A$405,C11,Timing!$S$6:$S$405,"PASS theo SDC")+COUNTIFS(Timing!$A$6:$A$405,C11,Timing!$S$6:$S$405,"Cần xử lý")&lt;&gt;4,"",MIN(INDEX(Timing!$F$6:$F$405,MATCH(C11,Timing!$A$6:$A$405,0)+0),INDEX(Timing!$F$6:$F$405,MATCH(C11,Timing!$A$6:$A$405,0)+1),INDEX(Timing!$F$6:$F$405,MATCH(C11,Timing!$A$6:$A$405,0)+2),INDEX(Timing!$F$6:$F$405,MATCH(C11,Timing!$A$6:$A$405,0)+3)))</x:f>
        <x:v>0.116</x:v>
      </x:c>
      <x:c r="J11" s="12" t="str">
        <x:f>IF(COUNTIFS(Timing!$A$6:$A$405,C11,Timing!$S$6:$S$405,"PASS theo SDC")=4,"PASS 4 corners",IF(H11="","Chờ dữ liệu","Cần xử lý"))</x:f>
        <x:v>PASS 4 corners</x:v>
      </x:c>
      <x:c r="K11" s="12" t="str">
        <x:f>VLOOKUP(D11,Mo_phong!$A$6:$K$11,4,FALSE)</x:f>
        <x:v>PASS</x:v>
      </x:c>
      <x:c r="L11" s="12" t="str">
        <x:v>Cân bằng tốt nhất trong 2/4/8BU hiện tại: đạt 160 MHz, 40 DSP / 55 M10K. Xem So_sanh_BU.</x:v>
      </x:c>
      <x:c r="M11" s="2"/>
    </x:row>
    <x:row r="12" ht="90" customHeight="1">
      <x:c r="A12" s="12" t="str">
        <x:v>A2V2</x:v>
      </x:c>
      <x:c r="B12" s="12" t="str">
        <x:v>TRNG ver2 (lưu trữ)</x:v>
      </x:c>
      <x:c r="C12" s="12" t="str">
        <x:v>A2V2_20261024_092107</x:v>
      </x:c>
      <x:c r="D12" s="12" t="str">
        <x:v>A2V2_SIM_CHO</x:v>
      </x:c>
      <x:c r="E12" s="15" t="n">
        <x:f>IF(COUNTIFS(Compile!$A$6:$A$205,C12,Compile!$D$6:$D$205,"Successful")&lt;&gt;1,"",VLOOKUP(C12,Compile!$A$6:$AO$205,9,FALSE))</x:f>
        <x:v>25690</x:v>
      </x:c>
      <x:c r="F12" s="15" t="n">
        <x:f>IF(COUNTIFS(Compile!$A$6:$A$205,C12,Compile!$D$6:$D$205,"Successful")&lt;&gt;1,"",VLOOKUP(C12,Compile!$A$6:$AO$205,25,FALSE))</x:f>
        <x:v>28</x:v>
      </x:c>
      <x:c r="G12" s="15" t="n">
        <x:f>IF(COUNTIFS(Compile!$A$6:$A$205,C12,Compile!$D$6:$D$205,"Successful")&lt;&gt;1,"",VLOOKUP(C12,Compile!$A$6:$AO$205,22,FALSE))</x:f>
        <x:v>45</x:v>
      </x:c>
      <x:c r="H12" s="18" t="n">
        <x:f>IF(COUNTIFS(Timing!$A$6:$A$405,C12,Timing!$S$6:$S$405,"PASS theo SDC")+COUNTIFS(Timing!$A$6:$A$405,C12,Timing!$S$6:$S$405,"Cần xử lý")&lt;&gt;4,"",MIN(INDEX(Timing!$D$6:$D$405,MATCH(C12,Timing!$A$6:$A$405,0)+0),INDEX(Timing!$D$6:$D$405,MATCH(C12,Timing!$A$6:$A$405,0)+1),INDEX(Timing!$D$6:$D$405,MATCH(C12,Timing!$A$6:$A$405,0)+2),INDEX(Timing!$D$6:$D$405,MATCH(C12,Timing!$A$6:$A$405,0)+3)))</x:f>
        <x:v>-0.04</x:v>
      </x:c>
      <x:c r="I12" s="18" t="n">
        <x:f>IF(COUNTIFS(Timing!$A$6:$A$405,C12,Timing!$S$6:$S$405,"PASS theo SDC")+COUNTIFS(Timing!$A$6:$A$405,C12,Timing!$S$6:$S$405,"Cần xử lý")&lt;&gt;4,"",MIN(INDEX(Timing!$F$6:$F$405,MATCH(C12,Timing!$A$6:$A$405,0)+0),INDEX(Timing!$F$6:$F$405,MATCH(C12,Timing!$A$6:$A$405,0)+1),INDEX(Timing!$F$6:$F$405,MATCH(C12,Timing!$A$6:$A$405,0)+2),INDEX(Timing!$F$6:$F$405,MATCH(C12,Timing!$A$6:$A$405,0)+3)))</x:f>
        <x:v>0.138</x:v>
      </x:c>
      <x:c r="J12" s="12" t="str">
        <x:f>IF(COUNTIFS(Timing!$A$6:$A$405,C12,Timing!$S$6:$S$405,"PASS theo SDC")=4,"PASS 4 corners",IF(H12="","Chờ dữ liệu","Cần xử lý"))</x:f>
        <x:v>Cần xử lý</x:v>
      </x:c>
      <x:c r="K12" s="12" t="str">
        <x:f>VLOOKUP(D12,Mo_phong!$A$6:$K$13,4,FALSE)</x:f>
        <x:v>Chưa xác nhận</x:v>
      </x:c>
      <x:c r="L12" s="12" t="str">
        <x:v>Đã bỏ khỏi project hoạt động. Giữ số liệu cũ để tra lịch sử; không dùng làm bản triển khai hiện tại.</x:v>
      </x:c>
      <x:c r="M12" s="2"/>
    </x:row>
    <x:row r="13" ht="90" customHeight="1">
      <x:c r="A13" s="12" t="str">
        <x:v>A2V3</x:v>
      </x:c>
      <x:c r="B13" s="12" t="str">
        <x:v>TRNG ver3 (lưu trữ)</x:v>
      </x:c>
      <x:c r="C13" s="12" t="str">
        <x:v>A2V3_20261024_092039</x:v>
      </x:c>
      <x:c r="D13" s="12" t="str">
        <x:v>A2V3_SIM_CHO</x:v>
      </x:c>
      <x:c r="E13" s="15" t="n">
        <x:f>IF(COUNTIFS(Compile!$A$6:$A$205,C13,Compile!$D$6:$D$205,"Successful")&lt;&gt;1,"",VLOOKUP(C13,Compile!$A$6:$AO$205,9,FALSE))</x:f>
        <x:v>26220</x:v>
      </x:c>
      <x:c r="F13" s="15" t="n">
        <x:f>IF(COUNTIFS(Compile!$A$6:$A$205,C13,Compile!$D$6:$D$205,"Successful")&lt;&gt;1,"",VLOOKUP(C13,Compile!$A$6:$AO$205,25,FALSE))</x:f>
        <x:v>28</x:v>
      </x:c>
      <x:c r="G13" s="15" t="n">
        <x:f>IF(COUNTIFS(Compile!$A$6:$A$205,C13,Compile!$D$6:$D$205,"Successful")&lt;&gt;1,"",VLOOKUP(C13,Compile!$A$6:$AO$205,22,FALSE))</x:f>
        <x:v>45</x:v>
      </x:c>
      <x:c r="H13" s="18" t="n">
        <x:f>IF(COUNTIFS(Timing!$A$6:$A$405,C13,Timing!$S$6:$S$405,"PASS theo SDC")+COUNTIFS(Timing!$A$6:$A$405,C13,Timing!$S$6:$S$405,"Cần xử lý")&lt;&gt;4,"",MIN(INDEX(Timing!$D$6:$D$405,MATCH(C13,Timing!$A$6:$A$405,0)+0),INDEX(Timing!$D$6:$D$405,MATCH(C13,Timing!$A$6:$A$405,0)+1),INDEX(Timing!$D$6:$D$405,MATCH(C13,Timing!$A$6:$A$405,0)+2),INDEX(Timing!$D$6:$D$405,MATCH(C13,Timing!$A$6:$A$405,0)+3)))</x:f>
        <x:v>-0.177</x:v>
      </x:c>
      <x:c r="I13" s="18" t="n">
        <x:f>IF(COUNTIFS(Timing!$A$6:$A$405,C13,Timing!$S$6:$S$405,"PASS theo SDC")+COUNTIFS(Timing!$A$6:$A$405,C13,Timing!$S$6:$S$405,"Cần xử lý")&lt;&gt;4,"",MIN(INDEX(Timing!$F$6:$F$405,MATCH(C13,Timing!$A$6:$A$405,0)+0),INDEX(Timing!$F$6:$F$405,MATCH(C13,Timing!$A$6:$A$405,0)+1),INDEX(Timing!$F$6:$F$405,MATCH(C13,Timing!$A$6:$A$405,0)+2),INDEX(Timing!$F$6:$F$405,MATCH(C13,Timing!$A$6:$A$405,0)+3)))</x:f>
        <x:v>0.133</x:v>
      </x:c>
      <x:c r="J13" s="12" t="str">
        <x:f>IF(COUNTIFS(Timing!$A$6:$A$405,C13,Timing!$S$6:$S$405,"PASS theo SDC")=4,"PASS 4 corners",IF(H13="","Chờ dữ liệu","Cần xử lý"))</x:f>
        <x:v>Cần xử lý</x:v>
      </x:c>
      <x:c r="K13" s="12" t="str">
        <x:f>VLOOKUP(D13,Mo_phong!$A$6:$K$13,4,FALSE)</x:f>
        <x:v>Chưa xác nhận</x:v>
      </x:c>
      <x:c r="L13" s="12" t="str">
        <x:v>Đã bỏ khỏi project hoạt động. Giữ số liệu cũ để tra lịch sử; không dùng làm bản triển khai hiện tại.</x:v>
      </x:c>
      <x:c r="M13" s="2"/>
    </x:row>
    <x:row r="14" ht="90" customHeight="1">
      <x:c r="A14" s="12" t="str">
        <x:v>SB2</x:v>
      </x:c>
      <x:c r="B14" s="12" t="str">
        <x:v>Streaming-Balanced 2BU / 4 bank</x:v>
      </x:c>
      <x:c r="C14" s="12" t="str">
        <x:v>SB2_20261025_063232</x:v>
      </x:c>
      <x:c r="D14" s="12" t="str">
        <x:v>SB2_SIM_20261025_051014_757</x:v>
      </x:c>
      <x:c r="E14" s="15" t="n">
        <x:f>IF(COUNTIFS(Compile!$A$6:$A$205,C14,Compile!$D$6:$D$205,"Successful")&lt;&gt;1,"",VLOOKUP(C14,Compile!$A$6:$AO$205,9,FALSE))</x:f>
        <x:v>27017</x:v>
      </x:c>
      <x:c r="F14" s="15" t="n">
        <x:f>IF(COUNTIFS(Compile!$A$6:$A$205,C14,Compile!$D$6:$D$205,"Successful")&lt;&gt;1,"",VLOOKUP(C14,Compile!$A$6:$AO$205,25,FALSE))</x:f>
        <x:v>32</x:v>
      </x:c>
      <x:c r="G14" s="15" t="n">
        <x:f>IF(COUNTIFS(Compile!$A$6:$A$205,C14,Compile!$D$6:$D$205,"Successful")&lt;&gt;1,"",VLOOKUP(C14,Compile!$A$6:$AO$205,22,FALSE))</x:f>
        <x:v>49</x:v>
      </x:c>
      <x:c r="H14" s="18" t="n">
        <x:f>IF(COUNTIFS(Timing!$A$6:$A$405,C14,Timing!$S$6:$S$405,"PASS theo SDC")+COUNTIFS(Timing!$A$6:$A$405,C14,Timing!$S$6:$S$405,"Cần xử lý")&lt;&gt;4,"",MIN(INDEX(Timing!$D$6:$D$405,MATCH(C14,Timing!$A$6:$A$405,0)+0),INDEX(Timing!$D$6:$D$405,MATCH(C14,Timing!$A$6:$A$405,0)+1),INDEX(Timing!$D$6:$D$405,MATCH(C14,Timing!$A$6:$A$405,0)+2),INDEX(Timing!$D$6:$D$405,MATCH(C14,Timing!$A$6:$A$405,0)+3)))</x:f>
        <x:v>-0.194</x:v>
      </x:c>
      <x:c r="I14" s="18" t="n">
        <x:f>IF(COUNTIFS(Timing!$A$6:$A$405,C14,Timing!$S$6:$S$405,"PASS theo SDC")+COUNTIFS(Timing!$A$6:$A$405,C14,Timing!$S$6:$S$405,"Cần xử lý")&lt;&gt;4,"",MIN(INDEX(Timing!$F$6:$F$405,MATCH(C14,Timing!$A$6:$A$405,0)+0),INDEX(Timing!$F$6:$F$405,MATCH(C14,Timing!$A$6:$A$405,0)+1),INDEX(Timing!$F$6:$F$405,MATCH(C14,Timing!$A$6:$A$405,0)+2),INDEX(Timing!$F$6:$F$405,MATCH(C14,Timing!$A$6:$A$405,0)+3)))</x:f>
        <x:v>0.063</x:v>
      </x:c>
      <x:c r="J14" s="12" t="str">
        <x:f>IF(COUNTIFS(Timing!$A$6:$A$405,C14,Timing!$S$6:$S$405,"PASS theo SDC")=4,"PASS 4 corners",IF(H14="","Chờ dữ liệu","Cần xử lý"))</x:f>
        <x:v>Cần xử lý</x:v>
      </x:c>
      <x:c r="K14" s="12" t="str">
        <x:f>VLOOKUP(D14,Mo_phong!$A$6:$K$15,4,FALSE)</x:f>
        <x:v>PASS</x:v>
      </x:c>
      <x:c r="L14" s="12" t="str">
        <x:v>Tiết kiệm DSP/RAM; NTT 459 chu kỳ. Setup −0,194 ns, chưa đạt 160 MHz.</x:v>
      </x:c>
      <x:c r="M14" s="2"/>
    </x:row>
    <x:row r="15" ht="90" customHeight="1">
      <x:c r="A15" s="12" t="str">
        <x:v>SB8</x:v>
      </x:c>
      <x:c r="B15" s="12" t="str">
        <x:v>Streaming-Balanced 8BU / 16 bank</x:v>
      </x:c>
      <x:c r="C15" s="12" t="str">
        <x:v>SB8_20261025_063630</x:v>
      </x:c>
      <x:c r="D15" s="12" t="str">
        <x:v>SB8_SIM_20261025_051014_919</x:v>
      </x:c>
      <x:c r="E15" s="15" t="n">
        <x:f>IF(COUNTIFS(Compile!$A$6:$A$205,C15,Compile!$D$6:$D$205,"Successful")&lt;&gt;1,"",VLOOKUP(C15,Compile!$A$6:$AO$205,9,FALSE))</x:f>
        <x:v>28480</x:v>
      </x:c>
      <x:c r="F15" s="15" t="n">
        <x:f>IF(COUNTIFS(Compile!$A$6:$A$205,C15,Compile!$D$6:$D$205,"Successful")&lt;&gt;1,"",VLOOKUP(C15,Compile!$A$6:$AO$205,25,FALSE))</x:f>
        <x:v>56</x:v>
      </x:c>
      <x:c r="G15" s="15" t="n">
        <x:f>IF(COUNTIFS(Compile!$A$6:$A$205,C15,Compile!$D$6:$D$205,"Successful")&lt;&gt;1,"",VLOOKUP(C15,Compile!$A$6:$AO$205,22,FALSE))</x:f>
        <x:v>66</x:v>
      </x:c>
      <x:c r="H15" s="18" t="n">
        <x:f>IF(COUNTIFS(Timing!$A$6:$A$405,C15,Timing!$S$6:$S$405,"PASS theo SDC")+COUNTIFS(Timing!$A$6:$A$405,C15,Timing!$S$6:$S$405,"Cần xử lý")&lt;&gt;4,"",MIN(INDEX(Timing!$D$6:$D$405,MATCH(C15,Timing!$A$6:$A$405,0)+0),INDEX(Timing!$D$6:$D$405,MATCH(C15,Timing!$A$6:$A$405,0)+1),INDEX(Timing!$D$6:$D$405,MATCH(C15,Timing!$A$6:$A$405,0)+2),INDEX(Timing!$D$6:$D$405,MATCH(C15,Timing!$A$6:$A$405,0)+3)))</x:f>
        <x:v>-0.512</x:v>
      </x:c>
      <x:c r="I15" s="18" t="n">
        <x:f>IF(COUNTIFS(Timing!$A$6:$A$405,C15,Timing!$S$6:$S$405,"PASS theo SDC")+COUNTIFS(Timing!$A$6:$A$405,C15,Timing!$S$6:$S$405,"Cần xử lý")&lt;&gt;4,"",MIN(INDEX(Timing!$F$6:$F$405,MATCH(C15,Timing!$A$6:$A$405,0)+0),INDEX(Timing!$F$6:$F$405,MATCH(C15,Timing!$A$6:$A$405,0)+1),INDEX(Timing!$F$6:$F$405,MATCH(C15,Timing!$A$6:$A$405,0)+2),INDEX(Timing!$F$6:$F$405,MATCH(C15,Timing!$A$6:$A$405,0)+3)))</x:f>
        <x:v>0.102</x:v>
      </x:c>
      <x:c r="J15" s="12" t="str">
        <x:f>IF(COUNTIFS(Timing!$A$6:$A$405,C15,Timing!$S$6:$S$405,"PASS theo SDC")=4,"PASS 4 corners",IF(H15="","Chờ dữ liệu","Cần xử lý"))</x:f>
        <x:v>Cần xử lý</x:v>
      </x:c>
      <x:c r="K15" s="12" t="str">
        <x:f>VLOOKUP(D15,Mo_phong!$A$6:$K$15,4,FALSE)</x:f>
        <x:v>PASS</x:v>
      </x:c>
      <x:c r="L15" s="12" t="str">
        <x:v>NTT 127 chu kỳ, DSP 56 / M10K 66. Setup −0,512 ns, chưa đạt 160 MHz.</x:v>
      </x:c>
      <x:c r="M15" s="2"/>
    </x:row>
    <x:row r="16" ht="23" customHeight="1">
      <x:c r="A16"/>
      <x:c r="B16"/>
      <x:c r="C16"/>
      <x:c r="D16"/>
      <x:c r="E16"/>
      <x:c r="F16"/>
      <x:c r="G16"/>
      <x:c r="H16"/>
      <x:c r="I16"/>
      <x:c r="J16"/>
      <x:c r="K16"/>
      <x:c r="L16"/>
      <x:c r="M16" s="2"/>
    </x:row>
    <x:row r="17" ht="23" customHeight="1">
      <x:c r="A17" s="2" t="str">
        <x:v>Cách cập nhật sau mỗi lần chạy</x:v>
      </x:c>
      <x:c r="B17" s="2"/>
      <x:c r="C17" s="2"/>
      <x:c r="D17" s="2"/>
      <x:c r="E17" s="2"/>
      <x:c r="F17" s="2"/>
      <x:c r="G17" s="2"/>
      <x:c r="H17" s="2"/>
      <x:c r="I17" s="2"/>
      <x:c r="J17" s="2"/>
      <x:c r="K17" s="2"/>
      <x:c r="L17" s="2"/>
      <x:c r="M17" s="2"/>
    </x:row>
    <x:row r="18" ht="23" customHeight="1">
      <x:c r="A18" s="2"/>
      <x:c r="B18" s="2"/>
      <x:c r="C18" s="2"/>
      <x:c r="D18" s="2"/>
      <x:c r="E18" s="2"/>
      <x:c r="F18" s="2"/>
      <x:c r="G18" s="2"/>
      <x:c r="H18" s="2"/>
      <x:c r="I18" s="2"/>
      <x:c r="J18" s="2"/>
      <x:c r="K18" s="2"/>
      <x:c r="L18" s="2"/>
      <x:c r="M18" s="2"/>
    </x:row>
    <x:row r="19" ht="23" customHeight="1">
      <x:c r="A19" s="2" t="str">
        <x:v>1. Compile: thêm một dòng Run ID duy nhất; giữ dòng cũ. Nhập số liệu gốc, sao chép công thức tỷ lệ phần trăm.</x:v>
      </x:c>
      <x:c r="B19" s="2"/>
      <x:c r="C19" s="2"/>
      <x:c r="D19" s="2"/>
      <x:c r="E19" s="2"/>
      <x:c r="F19" s="2"/>
      <x:c r="G19" s="2"/>
      <x:c r="H19" s="2"/>
      <x:c r="I19" s="2"/>
      <x:c r="J19" s="2"/>
      <x:c r="K19" s="2"/>
      <x:c r="L19" s="2"/>
      <x:c r="M19" s="2"/>
    </x:row>
    <x:row r="20" ht="23" customHeight="1">
      <x:c r="A20" s="2" t="str">
        <x:v>2. Timing: thêm bốn corner LIỀN NHAU cùng Run ID, sao chép công thức S; giữ thứ tự, không sort riêng bảng này.</x:v>
      </x:c>
      <x:c r="B20" s="2"/>
      <x:c r="C20" s="2"/>
      <x:c r="D20" s="2"/>
      <x:c r="E20" s="2"/>
      <x:c r="F20" s="2"/>
      <x:c r="G20" s="2"/>
      <x:c r="H20" s="2"/>
      <x:c r="I20" s="2"/>
      <x:c r="J20" s="2"/>
      <x:c r="K20" s="2"/>
      <x:c r="L20" s="2"/>
      <x:c r="M20" s="2"/>
    </x:row>
    <x:row r="21" ht="23" customHeight="1">
      <x:c r="A21" s="2" t="str">
        <x:v>3. Tong_hop: chọn Compile ID mới ở cột C. Bảng tự cập nhật tài nguyên và slack, tối đa 200 compile / 400 dòng timing.</x:v>
      </x:c>
      <x:c r="B21" s="2"/>
      <x:c r="C21" s="2"/>
      <x:c r="D21" s="2"/>
      <x:c r="E21" s="2"/>
      <x:c r="F21" s="2"/>
      <x:c r="G21" s="2"/>
      <x:c r="H21" s="2"/>
      <x:c r="I21" s="2"/>
      <x:c r="J21" s="2"/>
      <x:c r="K21" s="2"/>
      <x:c r="L21" s="2"/>
      <x:c r="M21" s="2"/>
    </x:row>
    <x:row r="22" ht="23" customHeight="1">
      <x:c r="A22" s="2" t="str">
        <x:v>4. Mo_phong: cập nhật dòng regression của từng kiến trúc; giữ log cũ trên đĩa. Khi đổi vector/RTL phải chạy lại.</x:v>
      </x:c>
      <x:c r="B22" s="2"/>
      <x:c r="C22" s="2"/>
      <x:c r="D22" s="2"/>
      <x:c r="E22" s="2"/>
      <x:c r="F22" s="2"/>
      <x:c r="G22" s="2"/>
      <x:c r="H22" s="2"/>
      <x:c r="I22" s="2"/>
      <x:c r="J22" s="2"/>
      <x:c r="K22" s="2"/>
      <x:c r="L22" s="2"/>
      <x:c r="M22" s="2"/>
    </x:row>
    <x:row r="23" ht="23" customHeight="1">
      <x:c r="A23" s="2" t="str">
        <x:v>5. Thêm phép đo vào OperationCycles và sao chép công thức H:J. Mỗi mode/phép toán chỉ có một A0 tham chiếu.</x:v>
      </x:c>
      <x:c r="B23" s="2"/>
      <x:c r="C23" s="2"/>
      <x:c r="D23" s="2"/>
      <x:c r="E23" s="2"/>
      <x:c r="F23" s="2"/>
      <x:c r="G23" s="2"/>
      <x:c r="H23" s="2"/>
      <x:c r="I23" s="2"/>
      <x:c r="J23" s="2"/>
      <x:c r="K23" s="2"/>
      <x:c r="L23" s="2"/>
      <x:c r="M23" s="2"/>
    </x:row>
    <x:row r="24" ht="23" customHeight="1">
      <x:c r="A24" s="2" t="str">
        <x:v>6. Ô trống nghĩa là chưa có số liệu; không nhập 0 thay thiếu dữ liệu. Không so tài nguyên toàn hệ thống với core-only.</x:v>
      </x:c>
      <x:c r="B24" s="2"/>
      <x:c r="C24" s="2"/>
      <x:c r="D24" s="2"/>
      <x:c r="E24" s="2"/>
      <x:c r="F24" s="2"/>
      <x:c r="G24" s="2"/>
      <x:c r="H24" s="2"/>
      <x:c r="I24" s="2"/>
      <x:c r="J24" s="2"/>
      <x:c r="K24" s="2"/>
      <x:c r="L24" s="2"/>
      <x:c r="M24" s="2"/>
    </x:row>
    <x:row r="25" ht="23" customHeight="1">
      <x:c r="A25" s="2" t="str">
        <x:v>7. STA PASS theo SDC không xác nhận entropy, CDC/MTBF, bảo mật phần cứng hay hoạt động trên kit.</x:v>
      </x:c>
      <x:c r="B25" s="2"/>
      <x:c r="C25" s="2"/>
      <x:c r="D25" s="2"/>
      <x:c r="E25" s="2"/>
      <x:c r="F25" s="2"/>
      <x:c r="G25" s="2"/>
      <x:c r="H25" s="2"/>
      <x:c r="I25" s="2"/>
      <x:c r="J25" s="2"/>
      <x:c r="K25" s="2"/>
      <x:c r="L25" s="2"/>
      <x:c r="M25" s="2"/>
    </x:row>
    <x:row r="26" ht="23" customHeight="1">
      <x:c r="A26" s="2" t="str">
        <x:v>A4 dùng tên cycle_opt mới; giữ mã lịch sử. A2 đang chờ compile lại RTL sửa sau lần fit này.</x:v>
      </x:c>
      <x:c r="B26" s="2"/>
      <x:c r="C26" s="2"/>
      <x:c r="D26" s="2"/>
      <x:c r="E26" s="2"/>
      <x:c r="F26" s="2"/>
      <x:c r="G26" s="2"/>
      <x:c r="H26" s="2"/>
      <x:c r="I26" s="2"/>
      <x:c r="J26" s="2"/>
      <x:c r="K26" s="2"/>
      <x:c r="L26" s="2"/>
      <x:c r="M26" s="2"/>
    </x:row>
    <x:row r="27" ht="23" customHeight="1">
      <x:c r="A27" s="2" t="str">
        <x:v>Màu vàng: lựa chọn run có thể sửa. Tỷ lệ/latency/speedup là công thức. Ghi_chu lưu các khác biệt và cảnh báo.</x:v>
      </x:c>
      <x:c r="B27" s="2"/>
      <x:c r="C27" s="2"/>
      <x:c r="D27" s="2"/>
      <x:c r="E27" s="2"/>
      <x:c r="F27" s="2"/>
      <x:c r="G27" s="2"/>
      <x:c r="H27" s="2"/>
      <x:c r="I27" s="2"/>
      <x:c r="J27" s="2"/>
      <x:c r="K27" s="2"/>
      <x:c r="L27" s="2"/>
      <x:c r="M27" s="2"/>
    </x:row>
    <x:row r="28" ht="23" customHeight="1">
      <x:c r="A28" s="2"/>
      <x:c r="B28" s="2"/>
      <x:c r="C28" s="2"/>
      <x:c r="D28" s="2"/>
      <x:c r="E28" s="2"/>
      <x:c r="F28" s="2"/>
      <x:c r="G28" s="2"/>
      <x:c r="H28" s="2"/>
      <x:c r="I28" s="2"/>
      <x:c r="J28" s="2"/>
      <x:c r="K28" s="2"/>
      <x:c r="L28" s="2"/>
      <x:c r="M28" s="2"/>
    </x:row>
    <x:row r="29" ht="23" customHeight="1">
      <x:c r="A29" s="2"/>
      <x:c r="B29" s="2"/>
      <x:c r="C29" s="2"/>
      <x:c r="D29" s="2"/>
      <x:c r="E29" s="2"/>
      <x:c r="F29" s="2"/>
      <x:c r="G29" s="2"/>
      <x:c r="H29" s="2"/>
      <x:c r="I29" s="2"/>
      <x:c r="J29" s="2"/>
      <x:c r="K29" s="2"/>
      <x:c r="L29" s="2"/>
      <x:c r="M29" s="2"/>
    </x:row>
    <x:row r="30" ht="23" customHeight="1">
      <x:c r="A30" s="2"/>
      <x:c r="B30" s="2"/>
      <x:c r="C30" s="2"/>
      <x:c r="D30" s="2"/>
      <x:c r="E30" s="2"/>
      <x:c r="F30" s="2"/>
      <x:c r="G30" s="2"/>
      <x:c r="H30" s="2"/>
      <x:c r="I30" s="2"/>
      <x:c r="J30" s="2"/>
      <x:c r="K30" s="2"/>
      <x:c r="L30" s="2"/>
      <x:c r="M30" s="2"/>
    </x:row>
    <x:row r="31" ht="23" customHeight="1">
      <x:c r="A31" s="2"/>
      <x:c r="B31" s="2"/>
      <x:c r="C31" s="2"/>
      <x:c r="D31" s="2"/>
      <x:c r="E31" s="2"/>
      <x:c r="F31" s="2"/>
      <x:c r="G31" s="2"/>
      <x:c r="H31" s="2"/>
      <x:c r="I31" s="2"/>
      <x:c r="J31" s="2"/>
      <x:c r="K31" s="2"/>
      <x:c r="L31" s="2"/>
      <x:c r="M31" s="2"/>
    </x:row>
    <x:row r="32" ht="23" customHeight="1">
      <x:c r="A32" s="2"/>
      <x:c r="B32" s="2"/>
      <x:c r="C32" s="2"/>
      <x:c r="D32" s="2"/>
      <x:c r="E32" s="2"/>
      <x:c r="F32" s="2"/>
      <x:c r="G32" s="2"/>
      <x:c r="H32" s="2"/>
      <x:c r="I32" s="2"/>
      <x:c r="J32" s="2"/>
      <x:c r="K32" s="2"/>
      <x:c r="L32" s="2"/>
      <x:c r="M32" s="2"/>
    </x:row>
    <x:row r="33" ht="23" customHeight="1">
      <x:c r="A33" s="2"/>
      <x:c r="B33" s="2"/>
      <x:c r="C33" s="2"/>
      <x:c r="D33" s="2"/>
      <x:c r="E33" s="2"/>
      <x:c r="F33" s="2"/>
      <x:c r="G33" s="2"/>
      <x:c r="H33" s="2"/>
      <x:c r="I33" s="2"/>
      <x:c r="J33" s="2"/>
      <x:c r="K33" s="2"/>
      <x:c r="L33" s="2"/>
      <x:c r="M33" s="2"/>
    </x:row>
    <x:row r="34" ht="23" customHeight="1">
      <x:c r="A34" s="2"/>
      <x:c r="B34" s="2"/>
      <x:c r="C34" s="2"/>
      <x:c r="D34" s="2"/>
      <x:c r="E34" s="2"/>
      <x:c r="F34" s="2"/>
      <x:c r="G34" s="2"/>
      <x:c r="H34" s="2"/>
      <x:c r="I34" s="2"/>
      <x:c r="J34" s="2"/>
      <x:c r="K34" s="2"/>
      <x:c r="L34" s="2"/>
      <x:c r="M34" s="2"/>
    </x:row>
    <x:row r="35" ht="23" customHeight="1">
      <x:c r="A35" s="2"/>
      <x:c r="B35" s="2"/>
      <x:c r="C35" s="2"/>
      <x:c r="D35" s="2"/>
      <x:c r="E35" s="2"/>
      <x:c r="F35" s="2"/>
      <x:c r="G35" s="2"/>
      <x:c r="H35" s="2"/>
      <x:c r="I35" s="2"/>
      <x:c r="J35" s="2"/>
      <x:c r="K35" s="2"/>
      <x:c r="L35" s="2"/>
      <x:c r="M35" s="2"/>
    </x:row>
    <x:row r="36" ht="23" customHeight="1">
      <x:c r="A36" s="2"/>
      <x:c r="B36" s="2"/>
      <x:c r="C36" s="2"/>
      <x:c r="D36" s="2"/>
      <x:c r="E36" s="2"/>
      <x:c r="F36" s="2"/>
      <x:c r="G36" s="2"/>
      <x:c r="H36" s="2"/>
      <x:c r="I36" s="2"/>
      <x:c r="J36" s="2"/>
      <x:c r="K36" s="2"/>
      <x:c r="L36" s="2"/>
      <x:c r="M36" s="2"/>
    </x:row>
    <x:row r="37" ht="23" customHeight="1">
      <x:c r="A37" s="2"/>
      <x:c r="B37" s="2"/>
      <x:c r="C37" s="2"/>
      <x:c r="D37" s="2"/>
      <x:c r="E37" s="2"/>
      <x:c r="F37" s="2"/>
      <x:c r="G37" s="2"/>
      <x:c r="H37" s="2"/>
      <x:c r="I37" s="2"/>
      <x:c r="J37" s="2"/>
      <x:c r="K37" s="2"/>
      <x:c r="L37" s="2"/>
      <x:c r="M37" s="2"/>
    </x:row>
    <x:row r="38" ht="23" customHeight="1">
      <x:c r="A38" s="2"/>
      <x:c r="B38" s="2"/>
      <x:c r="C38" s="2"/>
      <x:c r="D38" s="2"/>
      <x:c r="E38" s="2"/>
      <x:c r="F38" s="2"/>
      <x:c r="G38" s="2"/>
      <x:c r="H38" s="2"/>
      <x:c r="I38" s="2"/>
      <x:c r="J38" s="2"/>
      <x:c r="K38" s="2"/>
      <x:c r="L38" s="2"/>
      <x:c r="M38" s="2"/>
    </x:row>
    <x:row r="39" ht="23" customHeight="1">
      <x:c r="A39" s="2"/>
      <x:c r="B39" s="2"/>
      <x:c r="C39" s="2"/>
      <x:c r="D39" s="2"/>
      <x:c r="E39" s="2"/>
      <x:c r="F39" s="2"/>
      <x:c r="G39" s="2"/>
      <x:c r="H39" s="2"/>
      <x:c r="I39" s="2"/>
      <x:c r="J39" s="2"/>
      <x:c r="K39" s="2"/>
      <x:c r="L39" s="2"/>
      <x:c r="M39" s="2"/>
    </x:row>
    <x:row r="40" ht="23" customHeight="1">
      <x:c r="A40" s="2"/>
      <x:c r="B40" s="2"/>
      <x:c r="C40" s="2"/>
      <x:c r="D40" s="2"/>
      <x:c r="E40" s="2"/>
      <x:c r="F40" s="2"/>
      <x:c r="G40" s="2"/>
      <x:c r="H40" s="2"/>
      <x:c r="I40" s="2"/>
      <x:c r="J40" s="2"/>
      <x:c r="K40" s="2"/>
      <x:c r="L40" s="2"/>
      <x:c r="M40" s="2"/>
    </x:row>
    <x:row r="41" ht="23" customHeight="1">
      <x:c r="A41" s="2"/>
      <x:c r="B41" s="2"/>
      <x:c r="C41" s="2"/>
      <x:c r="D41" s="2"/>
      <x:c r="E41" s="2"/>
      <x:c r="F41" s="2"/>
      <x:c r="G41" s="2"/>
      <x:c r="H41" s="2"/>
      <x:c r="I41" s="2"/>
      <x:c r="J41" s="2"/>
      <x:c r="K41" s="2"/>
      <x:c r="L41" s="2"/>
      <x:c r="M41" s="2"/>
    </x:row>
    <x:row r="42" ht="23" customHeight="1">
      <x:c r="A42" s="2"/>
      <x:c r="B42" s="2"/>
      <x:c r="C42" s="2"/>
      <x:c r="D42" s="2"/>
      <x:c r="E42" s="2"/>
      <x:c r="F42" s="2"/>
      <x:c r="G42" s="2"/>
      <x:c r="H42" s="2"/>
      <x:c r="I42" s="2"/>
      <x:c r="J42" s="2"/>
      <x:c r="K42" s="2"/>
      <x:c r="L42" s="2"/>
      <x:c r="M42" s="2"/>
    </x:row>
    <x:row r="43" ht="23" customHeight="1">
      <x:c r="A43" s="2"/>
      <x:c r="B43" s="2"/>
      <x:c r="C43" s="2"/>
      <x:c r="D43" s="2"/>
      <x:c r="E43" s="2"/>
      <x:c r="F43" s="2"/>
      <x:c r="G43" s="2"/>
      <x:c r="H43" s="2"/>
      <x:c r="I43" s="2"/>
      <x:c r="J43" s="2"/>
      <x:c r="K43" s="2"/>
      <x:c r="L43" s="2"/>
      <x:c r="M43" s="2"/>
    </x:row>
    <x:row r="44" ht="23" customHeight="1">
      <x:c r="A44" s="2"/>
      <x:c r="B44" s="2"/>
      <x:c r="C44" s="2"/>
      <x:c r="D44" s="2"/>
      <x:c r="E44" s="2"/>
      <x:c r="F44" s="2"/>
      <x:c r="G44" s="2"/>
      <x:c r="H44" s="2"/>
      <x:c r="I44" s="2"/>
      <x:c r="J44" s="2"/>
      <x:c r="K44" s="2"/>
      <x:c r="L44" s="2"/>
      <x:c r="M44" s="2"/>
    </x:row>
    <x:row r="45" ht="23" customHeight="1">
      <x:c r="A45" s="2"/>
      <x:c r="B45" s="2"/>
      <x:c r="C45" s="2"/>
      <x:c r="D45" s="2"/>
      <x:c r="E45" s="2"/>
      <x:c r="F45" s="2"/>
      <x:c r="G45" s="2"/>
      <x:c r="H45" s="2"/>
      <x:c r="I45" s="2"/>
      <x:c r="J45" s="2"/>
      <x:c r="K45" s="2"/>
      <x:c r="L45" s="2"/>
      <x:c r="M45" s="2"/>
    </x:row>
  </x:sheetData>
  <x:conditionalFormatting sqref="H6:I11">
    <x:cfRule type="cellIs" dxfId="24" priority="1" operator="lessThan">
      <x:formula>0</x:formula>
    </x:cfRule>
  </x:conditionalFormatting>
  <x:conditionalFormatting sqref="H12:I13">
    <x:cfRule type="cellIs" dxfId="25" priority="2" operator="lessThan">
      <x:formula>0</x:formula>
    </x:cfRule>
  </x:conditionalFormatting>
  <x:conditionalFormatting sqref="H14:I14">
    <x:cfRule type="cellIs" dxfId="32" priority="3" operator="lessThan">
      <x:formula>0</x:formula>
    </x:cfRule>
  </x:conditionalFormatting>
  <x:conditionalFormatting sqref="H15:I15">
    <x:cfRule type="cellIs" dxfId="37" priority="4" operator="lessThan">
      <x:formula>0</x:formula>
    </x:cfRule>
  </x:conditionalFormatting>
  <x:dataValidations count="6">
    <x:dataValidation type="list" sqref="C6:C11">
      <x:formula1>Compile!$A$6:$A$205</x:formula1>
    </x:dataValidation>
    <x:dataValidation type="list" sqref="D6:D11">
      <x:formula1>Mo_phong!$A$6:$A$11</x:formula1>
    </x:dataValidation>
    <x:dataValidation type="list" sqref="C6:C13">
      <x:formula1>Compile!$A$6:$A$205</x:formula1>
    </x:dataValidation>
    <x:dataValidation type="list" sqref="D6:D13">
      <x:formula1>Mo_phong!$A$6:$A$13</x:formula1>
    </x:dataValidation>
    <x:dataValidation type="list" sqref="C14:C15">
      <x:formula1>Compile!$A$6:$A$205</x:formula1>
    </x:dataValidation>
    <x:dataValidation type="list" sqref="D14:D15">
      <x:formula1>Mo_phong!$A$6:$A$15</x:formula1>
    </x:dataValidation>
  </x:dataValidations>
  <x:pageMargins left="0.7" right="0.7" top="0.75" bottom="0.75" header="0.3" footer="0.3"/>
  <x:tableParts count="1">
    <x:tablePart xmlns:r="http://schemas.openxmlformats.org/officeDocument/2006/relationships" r:id="R8a7599b65e8a4201"/>
  </x:tableParts>
</x: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7" hidden="0" customWidth="1"/>
    <x:col min="2" max="2" width="17" hidden="0" customWidth="1"/>
    <x:col min="3" max="3" width="23" hidden="0" customWidth="1"/>
    <x:col min="4" max="4" width="25" hidden="0" customWidth="1"/>
    <x:col min="5" max="5" width="25" hidden="0" customWidth="1"/>
    <x:col min="6" max="6" width="25"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 min="27" max="27" width="17" hidden="0" customWidth="1"/>
    <x:col min="28" max="28" width="17" hidden="0" customWidth="1"/>
    <x:col min="29" max="29" width="17" hidden="0" customWidth="1"/>
    <x:col min="30" max="30" width="17" hidden="0" customWidth="1"/>
    <x:col min="31" max="31" width="17" hidden="0" customWidth="1"/>
    <x:col min="32" max="32" width="17" hidden="0" customWidth="1"/>
    <x:col min="33" max="33" width="17" hidden="0" customWidth="1"/>
    <x:col min="34" max="34" width="17" hidden="0" customWidth="1"/>
    <x:col min="35" max="35" width="26" hidden="0" customWidth="1"/>
    <x:col min="36" max="36" width="26" hidden="0" customWidth="1"/>
    <x:col min="37" max="37" width="26" hidden="0" customWidth="1"/>
    <x:col min="38" max="38" width="26" hidden="0" customWidth="1"/>
    <x:col min="39" max="39" width="30" hidden="0" customWidth="1"/>
    <x:col min="40" max="40" width="30" hidden="0" customWidth="1"/>
    <x:col min="41" max="41" width="65" hidden="0" customWidth="1"/>
    <x:col min="42" max="42" width="17" hidden="0" customWidth="1"/>
    <x:col min="43" max="43" width="17" hidden="0" customWidth="1"/>
    <x:col min="44" max="44" width="17" hidden="0" customWidth="1"/>
  </x:cols>
  <x:sheetData>
    <x:row r="1" ht="23"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c r="AI1" s="2"/>
      <x:c r="AJ1" s="2"/>
      <x:c r="AK1" s="2"/>
      <x:c r="AL1" s="2"/>
      <x:c r="AM1" s="2"/>
      <x:c r="AN1" s="2"/>
      <x:c r="AO1" s="2"/>
      <x:c r="AP1" s="2"/>
      <x:c r="AQ1" s="2"/>
      <x:c r="AR1" s="2"/>
    </x:row>
    <x:row r="2" ht="23" customHeight="1">
      <x:c r="A2" s="3" t="str">
        <x:v>Lịch sử Full Compilation</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c r="AE2" s="2"/>
      <x:c r="AF2" s="2"/>
      <x:c r="AG2" s="2"/>
      <x:c r="AH2" s="2"/>
      <x:c r="AI2" s="2"/>
      <x:c r="AJ2" s="2"/>
      <x:c r="AK2" s="2"/>
      <x:c r="AL2" s="2"/>
      <x:c r="AM2" s="2"/>
      <x:c r="AN2" s="2"/>
      <x:c r="AO2" s="2"/>
      <x:c r="AP2" s="2"/>
      <x:c r="AQ2" s="2"/>
      <x:c r="AR2" s="2"/>
    </x:row>
    <x:row r="3" ht="23" customHeight="1">
      <x:c r="A3" s="2" t="str">
        <x:v>Giữ toàn bộ lịch sử. Thêm hai lần Full Compilation SB2/SB8 ngày 25/10. Flow Successful; cả hai chưa đạt setup.</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c r="AI3" s="2"/>
      <x:c r="AJ3" s="2"/>
      <x:c r="AK3" s="2"/>
      <x:c r="AL3" s="2"/>
      <x:c r="AM3" s="2"/>
      <x:c r="AN3" s="2"/>
      <x:c r="AO3" s="2"/>
      <x:c r="AP3" s="2"/>
      <x:c r="AQ3" s="2"/>
      <x:c r="AR3" s="2"/>
    </x:row>
    <x:row r="4" ht="23"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c r="AI4" s="2"/>
      <x:c r="AJ4" s="2"/>
      <x:c r="AK4" s="2"/>
      <x:c r="AL4" s="2"/>
      <x:c r="AM4" s="2"/>
      <x:c r="AN4" s="2"/>
      <x:c r="AO4" s="2"/>
      <x:c r="AP4" s="2"/>
      <x:c r="AQ4" s="2"/>
      <x:c r="AR4" s="2"/>
    </x:row>
    <x:row r="5" ht="42" customHeight="1">
      <x:c r="A5" s="7" t="str">
        <x:v>Run ID</x:v>
      </x:c>
      <x:c r="B5" s="7" t="str">
        <x:v>Kiến trúc</x:v>
      </x:c>
      <x:c r="C5" s="7" t="str">
        <x:v>Kết thúc STA</x:v>
      </x:c>
      <x:c r="D5" s="7" t="str">
        <x:v>Trạng thái</x:v>
      </x:c>
      <x:c r="E5" s="7" t="str">
        <x:v>Device</x:v>
      </x:c>
      <x:c r="F5" s="7" t="str">
        <x:v>Quartus</x:v>
      </x:c>
      <x:c r="G5" s="7" t="str">
        <x:v>Seed</x:v>
      </x:c>
      <x:c r="H5" s="7" t="str">
        <x:v>Clock (MHz)</x:v>
      </x:c>
      <x:c r="I5" s="7" t="str">
        <x:v>ALM needed</x:v>
      </x:c>
      <x:c r="J5" s="7" t="str">
        <x:v>ALM tổng</x:v>
      </x:c>
      <x:c r="K5" s="7" t="str">
        <x:v>ALM (%)</x:v>
      </x:c>
      <x:c r="L5" s="7" t="str">
        <x:v>ALM placed</x:v>
      </x:c>
      <x:c r="M5" s="7" t="str">
        <x:v>ALUT logic</x:v>
      </x:c>
      <x:c r="N5" s="7" t="str">
        <x:v>Registers</x:v>
      </x:c>
      <x:c r="O5" s="7" t="str">
        <x:v>Reg thiết kế</x:v>
      </x:c>
      <x:c r="P5" s="7" t="str">
        <x:v>Reg routing</x:v>
      </x:c>
      <x:c r="Q5" s="7" t="str">
        <x:v>LAB dùng</x:v>
      </x:c>
      <x:c r="R5" s="7" t="str">
        <x:v>LAB tổng</x:v>
      </x:c>
      <x:c r="S5" s="7" t="str">
        <x:v>LAB (%)</x:v>
      </x:c>
      <x:c r="T5" s="7" t="str">
        <x:v>RAM logic (bit)</x:v>
      </x:c>
      <x:c r="U5" s="7" t="str">
        <x:v>RAM vật lý (bit)</x:v>
      </x:c>
      <x:c r="V5" s="7" t="str">
        <x:v>M10K</x:v>
      </x:c>
      <x:c r="W5" s="7" t="str">
        <x:v>M10K tổng</x:v>
      </x:c>
      <x:c r="X5" s="7" t="str">
        <x:v>M10K (%)</x:v>
      </x:c>
      <x:c r="Y5" s="7" t="str">
        <x:v>DSP</x:v>
      </x:c>
      <x:c r="Z5" s="7" t="str">
        <x:v>DSP tổng</x:v>
      </x:c>
      <x:c r="AA5" s="7" t="str">
        <x:v>DSP (%)</x:v>
      </x:c>
      <x:c r="AB5" s="7" t="str">
        <x:v>Pins</x:v>
      </x:c>
      <x:c r="AC5" s="7" t="str">
        <x:v>PLL</x:v>
      </x:c>
      <x:c r="AD5" s="7" t="str">
        <x:v>Warnings</x:v>
      </x:c>
      <x:c r="AE5" s="7" t="str">
        <x:v>Errors</x:v>
      </x:c>
      <x:c r="AF5" s="7" t="str">
        <x:v>Compile (phút)</x:v>
      </x:c>
      <x:c r="AG5" s="7" t="str">
        <x:v>Peak RAM (MB)</x:v>
      </x:c>
      <x:c r="AH5" s="7" t="str">
        <x:v>Power (W)</x:v>
      </x:c>
      <x:c r="AI5" s="7" t="str">
        <x:v>Power ghi chú</x:v>
      </x:c>
      <x:c r="AJ5" s="7" t="str">
        <x:v>RTL khớp sim</x:v>
      </x:c>
      <x:c r="AK5" s="7" t="str">
        <x:v>SDC khớp sim</x:v>
      </x:c>
      <x:c r="AL5" s="7" t="str">
        <x:v>QSF khớp sim</x:v>
      </x:c>
      <x:c r="AM5" s="7" t="str">
        <x:v>SOF SHA256</x:v>
      </x:c>
      <x:c r="AN5" s="7" t="str">
        <x:v>RTL set SHA256</x:v>
      </x:c>
      <x:c r="AO5" s="7" t="str">
        <x:v>Nguồn báo cáo</x:v>
      </x:c>
      <x:c r="AP5" s="2"/>
      <x:c r="AQ5" s="2"/>
      <x:c r="AR5" s="2"/>
    </x:row>
    <x:row r="6" ht="80" customHeight="1">
      <x:c r="A6" s="12" t="str">
        <x:v>A0_20261024_000741</x:v>
      </x:c>
      <x:c r="B6" s="12" t="str">
        <x:v>A0</x:v>
      </x:c>
      <x:c r="C6" s="14" t="n">
        <x:v>46319.00533564815</x:v>
      </x:c>
      <x:c r="D6" s="12" t="str">
        <x:v>Successful</x:v>
      </x:c>
      <x:c r="E6" s="12" t="str">
        <x:v>5CSXFC6D6F31C6</x:v>
      </x:c>
      <x:c r="F6" s="12" t="str">
        <x:v>18.1.0 Build 625 Lite</x:v>
      </x:c>
      <x:c r="G6" s="12" t="n">
        <x:v>2</x:v>
      </x:c>
      <x:c r="H6" s="12" t="n">
        <x:v>160</x:v>
      </x:c>
      <x:c r="I6" s="15" t="n">
        <x:v>24673</x:v>
      </x:c>
      <x:c r="J6" s="15" t="n">
        <x:v>41910</x:v>
      </x:c>
      <x:c r="K6" s="16" t="n">
        <x:f>IF(COUNT(I6,J6)&lt;2,"",I6/J6)</x:f>
        <x:v>0.5887139107611549</x:v>
      </x:c>
      <x:c r="L6" s="15" t="n">
        <x:v>26602</x:v>
      </x:c>
      <x:c r="M6" s="15" t="n">
        <x:v>36074</x:v>
      </x:c>
      <x:c r="N6" s="15" t="n">
        <x:v>35940</x:v>
      </x:c>
      <x:c r="O6" s="15" t="n">
        <x:v>33305</x:v>
      </x:c>
      <x:c r="P6" s="15" t="n">
        <x:v>2635</x:v>
      </x:c>
      <x:c r="Q6" s="15" t="n">
        <x:v>3859</x:v>
      </x:c>
      <x:c r="R6" s="15" t="n">
        <x:v>4191</x:v>
      </x:c>
      <x:c r="S6" s="16" t="n">
        <x:f>IF(COUNT(Q6,R6)&lt;2,"",Q6/R6)</x:f>
        <x:v>0.9207826294440468</x:v>
      </x:c>
      <x:c r="T6" s="15" t="n">
        <x:v>238768</x:v>
      </x:c>
      <x:c r="U6" s="15" t="n">
        <x:v>440320</x:v>
      </x:c>
      <x:c r="V6" s="15" t="n">
        <x:v>43</x:v>
      </x:c>
      <x:c r="W6" s="15" t="n">
        <x:v>553</x:v>
      </x:c>
      <x:c r="X6" s="16" t="n">
        <x:f>IF(COUNT(V6,W6)&lt;2,"",V6/W6)</x:f>
        <x:v>0.07775768535262206</x:v>
      </x:c>
      <x:c r="Y6" s="15" t="n">
        <x:v>28</x:v>
      </x:c>
      <x:c r="Z6" s="15" t="n">
        <x:v>112</x:v>
      </x:c>
      <x:c r="AA6" s="16" t="n">
        <x:f>IF(COUNT(Y6,Z6)&lt;2,"",Y6/Z6)</x:f>
        <x:v>0.25</x:v>
      </x:c>
      <x:c r="AB6" s="15" t="n">
        <x:v>69</x:v>
      </x:c>
      <x:c r="AC6" s="15" t="n">
        <x:v>1</x:v>
      </x:c>
      <x:c r="AD6" s="15" t="n">
        <x:v>224</x:v>
      </x:c>
      <x:c r="AE6" s="15" t="n">
        <x:v>0</x:v>
      </x:c>
      <x:c r="AF6" s="17" t="n">
        <x:v>27.75</x:v>
      </x:c>
      <x:c r="AG6" s="15" t="n">
        <x:v>7609</x:v>
      </x:c>
      <x:c r="AH6" s="18"/>
      <x:c r="AI6" s="12" t="str">
        <x:v>Chưa có Power Analyzer</x:v>
      </x:c>
      <x:c r="AJ6" s="12" t="str">
        <x:v>33/33 khớp</x:v>
      </x:c>
      <x:c r="AK6" s="12" t="str">
        <x:v>Khớp SHA256</x:v>
      </x:c>
      <x:c r="AL6" s="12" t="str">
        <x:v>Assignment khớp; khác dòng trống</x:v>
      </x:c>
      <x:c r="AM6" s="12" t="str">
        <x:v>8d79d89ce3db816b9cd159257c1a3a794e131b191a0e2eecef40b5a499fea633</x:v>
      </x:c>
      <x:c r="AN6" s="12" t="str">
        <x:v>fae7c56346e598ac7c2f9f771c0837979fcae8c12cb198a5211a600d18dfeb43</x:v>
      </x:c>
      <x:c r="AO6" s="12" t="str">
        <x:v>D:/ML_KEM_768_1024/09_reports/architecture_tracking/A0_20261024_000741</x:v>
      </x:c>
      <x:c r="AP6" s="2"/>
      <x:c r="AQ6" s="2"/>
      <x:c r="AR6" s="2"/>
    </x:row>
    <x:row r="7" ht="80" customHeight="1">
      <x:c r="A7" s="12" t="str">
        <x:v>A1_20261024_004402</x:v>
      </x:c>
      <x:c r="B7" s="12" t="str">
        <x:v>A1</x:v>
      </x:c>
      <x:c r="C7" s="14" t="n">
        <x:v>46319.03057870371</x:v>
      </x:c>
      <x:c r="D7" s="12" t="str">
        <x:v>Successful</x:v>
      </x:c>
      <x:c r="E7" s="12" t="str">
        <x:v>5CSXFC6D6F31C6</x:v>
      </x:c>
      <x:c r="F7" s="12" t="str">
        <x:v>18.1.0 Build 625 Lite</x:v>
      </x:c>
      <x:c r="G7" s="12" t="n">
        <x:v>2</x:v>
      </x:c>
      <x:c r="H7" s="12" t="n">
        <x:v>160</x:v>
      </x:c>
      <x:c r="I7" s="15" t="n">
        <x:v>24742</x:v>
      </x:c>
      <x:c r="J7" s="15" t="n">
        <x:v>41910</x:v>
      </x:c>
      <x:c r="K7" s="16" t="n">
        <x:f>IF(COUNT(I7,J7)&lt;2,"",I7/J7)</x:f>
        <x:v>0.5903602958721069</x:v>
      </x:c>
      <x:c r="L7" s="15" t="n">
        <x:v>26551</x:v>
      </x:c>
      <x:c r="M7" s="15" t="n">
        <x:v>36033</x:v>
      </x:c>
      <x:c r="N7" s="15" t="n">
        <x:v>36242</x:v>
      </x:c>
      <x:c r="O7" s="15" t="n">
        <x:v>33761</x:v>
      </x:c>
      <x:c r="P7" s="15" t="n">
        <x:v>2481</x:v>
      </x:c>
      <x:c r="Q7" s="15" t="n">
        <x:v>3858</x:v>
      </x:c>
      <x:c r="R7" s="15" t="n">
        <x:v>4191</x:v>
      </x:c>
      <x:c r="S7" s="16" t="n">
        <x:f>IF(COUNT(Q7,R7)&lt;2,"",Q7/R7)</x:f>
        <x:v>0.9205440229062276</x:v>
      </x:c>
      <x:c r="T7" s="15" t="n">
        <x:v>241840</x:v>
      </x:c>
      <x:c r="U7" s="15" t="n">
        <x:v>450560</x:v>
      </x:c>
      <x:c r="V7" s="15" t="n">
        <x:v>44</x:v>
      </x:c>
      <x:c r="W7" s="15" t="n">
        <x:v>553</x:v>
      </x:c>
      <x:c r="X7" s="16" t="n">
        <x:f>IF(COUNT(V7,W7)&lt;2,"",V7/W7)</x:f>
        <x:v>0.07956600361663653</x:v>
      </x:c>
      <x:c r="Y7" s="15" t="n">
        <x:v>28</x:v>
      </x:c>
      <x:c r="Z7" s="15" t="n">
        <x:v>112</x:v>
      </x:c>
      <x:c r="AA7" s="16" t="n">
        <x:f>IF(COUNT(Y7,Z7)&lt;2,"",Y7/Z7)</x:f>
        <x:v>0.25</x:v>
      </x:c>
      <x:c r="AB7" s="15" t="n">
        <x:v>69</x:v>
      </x:c>
      <x:c r="AC7" s="15" t="n">
        <x:v>1</x:v>
      </x:c>
      <x:c r="AD7" s="15" t="n">
        <x:v>226</x:v>
      </x:c>
      <x:c r="AE7" s="15" t="n">
        <x:v>0</x:v>
      </x:c>
      <x:c r="AF7" s="17" t="n">
        <x:v>26.3</x:v>
      </x:c>
      <x:c r="AG7" s="15" t="n">
        <x:v>7556</x:v>
      </x:c>
      <x:c r="AH7" s="18"/>
      <x:c r="AI7" s="12" t="str">
        <x:v>Chưa có Power Analyzer</x:v>
      </x:c>
      <x:c r="AJ7" s="12" t="str">
        <x:v>33/33 khớp</x:v>
      </x:c>
      <x:c r="AK7" s="12" t="str">
        <x:v>Khớp SHA256</x:v>
      </x:c>
      <x:c r="AL7" s="12" t="str">
        <x:v>Assignment khớp</x:v>
      </x:c>
      <x:c r="AM7" s="12" t="str">
        <x:v>95f1362fbac49b639bbebea43142555b66eaece40665e836fe33b7e14e0f38a6</x:v>
      </x:c>
      <x:c r="AN7" s="12" t="str">
        <x:v>2d4352251ceef7857011146c95c9b2e637e73c1a0a570f55b3dd4768e01b1839</x:v>
      </x:c>
      <x:c r="AO7" s="12" t="str">
        <x:v>D:/ML_KEM_768_1024/09_reports/architecture_tracking/A1_20261024_004402</x:v>
      </x:c>
      <x:c r="AP7" s="2"/>
      <x:c r="AQ7" s="2"/>
      <x:c r="AR7" s="2"/>
    </x:row>
    <x:row r="8" ht="80" customHeight="1">
      <x:c r="A8" s="12" t="str">
        <x:v>A2_CHO</x:v>
      </x:c>
      <x:c r="B8" s="12" t="str">
        <x:v>A2</x:v>
      </x:c>
      <x:c r="C8" s="14"/>
      <x:c r="D8" s="12" t="str">
        <x:v>Chưa compile lại</x:v>
      </x:c>
      <x:c r="E8" s="12" t="str">
        <x:v>5CSXFC6D6F31C6</x:v>
      </x:c>
      <x:c r="F8" s="12"/>
      <x:c r="G8" s="12" t="n">
        <x:v>2</x:v>
      </x:c>
      <x:c r="H8" s="12" t="n">
        <x:v>160</x:v>
      </x:c>
      <x:c r="I8" s="15"/>
      <x:c r="J8" s="15"/>
      <x:c r="K8" s="16" t="str">
        <x:f>IF(COUNT(I8,J8)&lt;2,"",I8/J8)</x:f>
      </x:c>
      <x:c r="L8" s="15"/>
      <x:c r="M8" s="15"/>
      <x:c r="N8" s="15"/>
      <x:c r="O8" s="15"/>
      <x:c r="P8" s="15"/>
      <x:c r="Q8" s="15"/>
      <x:c r="R8" s="15"/>
      <x:c r="S8" s="16" t="str">
        <x:f>IF(COUNT(Q8,R8)&lt;2,"",Q8/R8)</x:f>
      </x:c>
      <x:c r="T8" s="15"/>
      <x:c r="U8" s="15"/>
      <x:c r="V8" s="15"/>
      <x:c r="W8" s="15"/>
      <x:c r="X8" s="16" t="str">
        <x:f>IF(COUNT(V8,W8)&lt;2,"",V8/W8)</x:f>
      </x:c>
      <x:c r="Y8" s="15"/>
      <x:c r="Z8" s="15"/>
      <x:c r="AA8" s="16" t="str">
        <x:f>IF(COUNT(Y8,Z8)&lt;2,"",Y8/Z8)</x:f>
      </x:c>
      <x:c r="AB8" s="15"/>
      <x:c r="AC8" s="15"/>
      <x:c r="AD8" s="15"/>
      <x:c r="AE8" s="15"/>
      <x:c r="AF8" s="17"/>
      <x:c r="AG8" s="15"/>
      <x:c r="AH8" s="18"/>
      <x:c r="AI8" s="12" t="str">
        <x:v>Chưa đo</x:v>
      </x:c>
      <x:c r="AJ8" s="12"/>
      <x:c r="AK8" s="12"/>
      <x:c r="AL8" s="12"/>
      <x:c r="AM8" s="12"/>
      <x:c r="AN8" s="12"/>
      <x:c r="AO8" s="12" t="str">
        <x:v>D:/ML_KEM_768_1024/05_quartus/continuous_banked/output_files</x:v>
      </x:c>
      <x:c r="AP8" s="2"/>
      <x:c r="AQ8" s="2"/>
      <x:c r="AR8" s="2"/>
    </x:row>
    <x:row r="9" ht="80" customHeight="1">
      <x:c r="A9" s="12" t="str">
        <x:v>A3_20261024_023911</x:v>
      </x:c>
      <x:c r="B9" s="12" t="str">
        <x:v>A3</x:v>
      </x:c>
      <x:c r="C9" s="14" t="n">
        <x:v>46319.11054398148</x:v>
      </x:c>
      <x:c r="D9" s="12" t="str">
        <x:v>Successful</x:v>
      </x:c>
      <x:c r="E9" s="12" t="str">
        <x:v>5CSXFC6D6F31C6</x:v>
      </x:c>
      <x:c r="F9" s="12" t="str">
        <x:v>18.1.0 Build 625 Lite</x:v>
      </x:c>
      <x:c r="G9" s="12" t="n">
        <x:v>2</x:v>
      </x:c>
      <x:c r="H9" s="12" t="n">
        <x:v>160</x:v>
      </x:c>
      <x:c r="I9" s="15" t="n">
        <x:v>25758</x:v>
      </x:c>
      <x:c r="J9" s="15" t="n">
        <x:v>41910</x:v>
      </x:c>
      <x:c r="K9" s="16" t="n">
        <x:f>IF(COUNT(I9,J9)&lt;2,"",I9/J9)</x:f>
        <x:v>0.6146027201145311</x:v>
      </x:c>
      <x:c r="L9" s="15" t="n">
        <x:v>28104</x:v>
      </x:c>
      <x:c r="M9" s="15" t="n">
        <x:v>36687</x:v>
      </x:c>
      <x:c r="N9" s="15" t="n">
        <x:v>36149</x:v>
      </x:c>
      <x:c r="O9" s="15" t="n">
        <x:v>33097</x:v>
      </x:c>
      <x:c r="P9" s="15" t="n">
        <x:v>3052</x:v>
      </x:c>
      <x:c r="Q9" s="15" t="n">
        <x:v>3910</x:v>
      </x:c>
      <x:c r="R9" s="15" t="n">
        <x:v>4191</x:v>
      </x:c>
      <x:c r="S9" s="16" t="n">
        <x:f>IF(COUNT(Q9,R9)&lt;2,"",Q9/R9)</x:f>
        <x:v>0.9329515628728228</x:v>
      </x:c>
      <x:c r="T9" s="15" t="n">
        <x:v>238768</x:v>
      </x:c>
      <x:c r="U9" s="15" t="n">
        <x:v>460800</x:v>
      </x:c>
      <x:c r="V9" s="15" t="n">
        <x:v>45</x:v>
      </x:c>
      <x:c r="W9" s="15" t="n">
        <x:v>553</x:v>
      </x:c>
      <x:c r="X9" s="16" t="n">
        <x:f>IF(COUNT(V9,W9)&lt;2,"",V9/W9)</x:f>
        <x:v>0.081374321880651</x:v>
      </x:c>
      <x:c r="Y9" s="15" t="n">
        <x:v>28</x:v>
      </x:c>
      <x:c r="Z9" s="15" t="n">
        <x:v>112</x:v>
      </x:c>
      <x:c r="AA9" s="16" t="n">
        <x:f>IF(COUNT(Y9,Z9)&lt;2,"",Y9/Z9)</x:f>
        <x:v>0.25</x:v>
      </x:c>
      <x:c r="AB9" s="15" t="n">
        <x:v>69</x:v>
      </x:c>
      <x:c r="AC9" s="15" t="n">
        <x:v>1</x:v>
      </x:c>
      <x:c r="AD9" s="15" t="n">
        <x:v>228</x:v>
      </x:c>
      <x:c r="AE9" s="15" t="n">
        <x:v>0</x:v>
      </x:c>
      <x:c r="AF9" s="17" t="n">
        <x:v>46.25</x:v>
      </x:c>
      <x:c r="AG9" s="15" t="n">
        <x:v>7657</x:v>
      </x:c>
      <x:c r="AH9" s="18"/>
      <x:c r="AI9" s="12" t="str">
        <x:v>Chưa có Power Analyzer</x:v>
      </x:c>
      <x:c r="AJ9" s="12" t="str">
        <x:v>34/34 khớp sim trước sửa: 20261024_012003_569</x:v>
      </x:c>
      <x:c r="AK9" s="12" t="str">
        <x:v>Khớp SHA256</x:v>
      </x:c>
      <x:c r="AL9" s="12" t="str">
        <x:v>Assignment khớp sim trước sửa</x:v>
      </x:c>
      <x:c r="AM9" s="12" t="str">
        <x:v>dd1200b5b35043c70687f7c4ca8d31b549eab4dfe11ece167d7e39fa23d56058</x:v>
      </x:c>
      <x:c r="AN9" s="12" t="str">
        <x:v>f65a6e41a854a82fda58452c4a3f5794b031d20057cbbd3f207cefc1471dcd4a</x:v>
      </x:c>
      <x:c r="AO9" s="12" t="str">
        <x:v>D:/ML_KEM_768_1024/09_reports/architecture_tracking/A3_20261024_023911</x:v>
      </x:c>
      <x:c r="AP9" s="2"/>
      <x:c r="AQ9" s="2"/>
      <x:c r="AR9" s="2"/>
    </x:row>
    <x:row r="10" ht="80" customHeight="1">
      <x:c r="A10" s="12" t="str">
        <x:v>A4_20261024_023929</x:v>
      </x:c>
      <x:c r="B10" s="12" t="str">
        <x:v>A4</x:v>
      </x:c>
      <x:c r="C10" s="14" t="n">
        <x:v>46319.11075231482</x:v>
      </x:c>
      <x:c r="D10" s="12" t="str">
        <x:v>Successful</x:v>
      </x:c>
      <x:c r="E10" s="12" t="str">
        <x:v>5CSXFC6D6F31C6</x:v>
      </x:c>
      <x:c r="F10" s="12" t="str">
        <x:v>18.1.0 Build 625 Lite</x:v>
      </x:c>
      <x:c r="G10" s="12" t="n">
        <x:v>4</x:v>
      </x:c>
      <x:c r="H10" s="12" t="n">
        <x:v>160</x:v>
      </x:c>
      <x:c r="I10" s="15" t="n">
        <x:v>25855</x:v>
      </x:c>
      <x:c r="J10" s="15" t="n">
        <x:v>41910</x:v>
      </x:c>
      <x:c r="K10" s="16" t="n">
        <x:f>IF(COUNT(I10,J10)&lt;2,"",I10/J10)</x:f>
        <x:v>0.6169172035313768</x:v>
      </x:c>
      <x:c r="L10" s="15" t="n">
        <x:v>28406</x:v>
      </x:c>
      <x:c r="M10" s="15" t="n">
        <x:v>36939</x:v>
      </x:c>
      <x:c r="N10" s="15" t="n">
        <x:v>36031</x:v>
      </x:c>
      <x:c r="O10" s="15" t="n">
        <x:v>33169</x:v>
      </x:c>
      <x:c r="P10" s="15" t="n">
        <x:v>2862</x:v>
      </x:c>
      <x:c r="Q10" s="15" t="n">
        <x:v>3887</x:v>
      </x:c>
      <x:c r="R10" s="15" t="n">
        <x:v>4191</x:v>
      </x:c>
      <x:c r="S10" s="16" t="n">
        <x:f>IF(COUNT(Q10,R10)&lt;2,"",Q10/R10)</x:f>
        <x:v>0.9274636125029826</x:v>
      </x:c>
      <x:c r="T10" s="15" t="n">
        <x:v>238768</x:v>
      </x:c>
      <x:c r="U10" s="15" t="n">
        <x:v>460800</x:v>
      </x:c>
      <x:c r="V10" s="15" t="n">
        <x:v>45</x:v>
      </x:c>
      <x:c r="W10" s="15" t="n">
        <x:v>553</x:v>
      </x:c>
      <x:c r="X10" s="16" t="n">
        <x:f>IF(COUNT(V10,W10)&lt;2,"",V10/W10)</x:f>
        <x:v>0.081374321880651</x:v>
      </x:c>
      <x:c r="Y10" s="15" t="n">
        <x:v>28</x:v>
      </x:c>
      <x:c r="Z10" s="15" t="n">
        <x:v>112</x:v>
      </x:c>
      <x:c r="AA10" s="16" t="n">
        <x:f>IF(COUNT(Y10,Z10)&lt;2,"",Y10/Z10)</x:f>
        <x:v>0.25</x:v>
      </x:c>
      <x:c r="AB10" s="15" t="n">
        <x:v>69</x:v>
      </x:c>
      <x:c r="AC10" s="15" t="n">
        <x:v>1</x:v>
      </x:c>
      <x:c r="AD10" s="15" t="n">
        <x:v>227</x:v>
      </x:c>
      <x:c r="AE10" s="15" t="n">
        <x:v>0</x:v>
      </x:c>
      <x:c r="AF10" s="17" t="n">
        <x:v>46.233333333333334</x:v>
      </x:c>
      <x:c r="AG10" s="15" t="n">
        <x:v>7683</x:v>
      </x:c>
      <x:c r="AH10" s="18"/>
      <x:c r="AI10" s="12" t="str">
        <x:v>Chưa có Power Analyzer</x:v>
      </x:c>
      <x:c r="AJ10" s="12" t="str">
        <x:v>34/34 khớp sim trước sửa: 20261024_012014_103</x:v>
      </x:c>
      <x:c r="AK10" s="12" t="str">
        <x:v>Khớp SHA256</x:v>
      </x:c>
      <x:c r="AL10" s="12" t="str">
        <x:v>Assignment khớp sim trước sửa</x:v>
      </x:c>
      <x:c r="AM10" s="12" t="str">
        <x:v>691945d90e48cac15e1a57b9ce141028a8fe06d93c43f51b78adbc72b1b0d745</x:v>
      </x:c>
      <x:c r="AN10" s="12" t="str">
        <x:v>bc8715eefb6240c0c99b68587ca7d399e894260e557daa6f3073bbdfa5bdc315</x:v>
      </x:c>
      <x:c r="AO10" s="12" t="str">
        <x:v>D:/ML_KEM_768_1024/09_reports/architecture_tracking/A4_20261024_023929</x:v>
      </x:c>
      <x:c r="AP10" s="2"/>
      <x:c r="AQ10" s="2"/>
      <x:c r="AR10" s="2"/>
    </x:row>
    <x:row r="11" ht="80" customHeight="1">
      <x:c r="A11" s="12" t="str">
        <x:v>A5_20261024_063318</x:v>
      </x:c>
      <x:c r="B11" s="12" t="str">
        <x:v>A5</x:v>
      </x:c>
      <x:c r="C11" s="14" t="n">
        <x:v>46319.273125</x:v>
      </x:c>
      <x:c r="D11" s="12" t="str">
        <x:v>Successful</x:v>
      </x:c>
      <x:c r="E11" s="12" t="str">
        <x:v>5CSXFC6D6F31C6</x:v>
      </x:c>
      <x:c r="F11" s="12" t="str">
        <x:v>18.1.0 Build 625 Lite</x:v>
      </x:c>
      <x:c r="G11" s="12" t="n">
        <x:v>4</x:v>
      </x:c>
      <x:c r="H11" s="12" t="n">
        <x:v>160</x:v>
      </x:c>
      <x:c r="I11" s="15" t="n">
        <x:v>27176</x:v>
      </x:c>
      <x:c r="J11" s="15" t="n">
        <x:v>41910</x:v>
      </x:c>
      <x:c r="K11" s="16" t="n">
        <x:f>IF(COUNT(I11,J11)&lt;2,"",I11/J11)</x:f>
        <x:v>0.6484371271772846</x:v>
      </x:c>
      <x:c r="L11" s="15" t="n">
        <x:v>29282</x:v>
      </x:c>
      <x:c r="M11" s="15" t="n">
        <x:v>38577</x:v>
      </x:c>
      <x:c r="N11" s="15" t="n">
        <x:v>37911</x:v>
      </x:c>
      <x:c r="O11" s="15" t="n">
        <x:v>34302</x:v>
      </x:c>
      <x:c r="P11" s="15" t="n">
        <x:v>3609</x:v>
      </x:c>
      <x:c r="Q11" s="15" t="n">
        <x:v>3940</x:v>
      </x:c>
      <x:c r="R11" s="15" t="n">
        <x:v>4191</x:v>
      </x:c>
      <x:c r="S11" s="16" t="n">
        <x:f>IF(COUNT(Q11,R11)&lt;2,"",Q11/R11)</x:f>
        <x:v>0.9401097590073968</x:v>
      </x:c>
      <x:c r="T11" s="15" t="n">
        <x:v>239320</x:v>
      </x:c>
      <x:c r="U11" s="15" t="n">
        <x:v>563200</x:v>
      </x:c>
      <x:c r="V11" s="15" t="n">
        <x:v>55</x:v>
      </x:c>
      <x:c r="W11" s="15" t="n">
        <x:v>553</x:v>
      </x:c>
      <x:c r="X11" s="16" t="n">
        <x:f>IF(COUNT(V11,W11)&lt;2,"",V11/W11)</x:f>
        <x:v>0.09945750452079566</x:v>
      </x:c>
      <x:c r="Y11" s="15" t="n">
        <x:v>40</x:v>
      </x:c>
      <x:c r="Z11" s="15" t="n">
        <x:v>112</x:v>
      </x:c>
      <x:c r="AA11" s="16" t="n">
        <x:f>IF(COUNT(Y11,Z11)&lt;2,"",Y11/Z11)</x:f>
        <x:v>0.35714285714285715</x:v>
      </x:c>
      <x:c r="AB11" s="15" t="n">
        <x:v>69</x:v>
      </x:c>
      <x:c r="AC11" s="15" t="n">
        <x:v>1</x:v>
      </x:c>
      <x:c r="AD11" s="15" t="n">
        <x:v>225</x:v>
      </x:c>
      <x:c r="AE11" s="15" t="n">
        <x:v>0</x:v>
      </x:c>
      <x:c r="AF11" s="17" t="n">
        <x:v>38.21666666666667</x:v>
      </x:c>
      <x:c r="AG11" s="15" t="n">
        <x:v>7711</x:v>
      </x:c>
      <x:c r="AH11" s="18"/>
      <x:c r="AI11" s="12" t="str">
        <x:v>Chưa có Power Analyzer</x:v>
      </x:c>
      <x:c r="AJ11" s="12" t="str">
        <x:v>36/36 khớp sim 20261024_012050_666</x:v>
      </x:c>
      <x:c r="AK11" s="12" t="str">
        <x:v>Khớp SHA256</x:v>
      </x:c>
      <x:c r="AL11" s="12" t="str">
        <x:v>Assignment khớp</x:v>
      </x:c>
      <x:c r="AM11" s="12" t="str">
        <x:v>6c0c1db6a587b5c15ad67a152ef8bad5f02e3e82279f039ac83a1a93ec0e8db5</x:v>
      </x:c>
      <x:c r="AN11" s="12" t="str">
        <x:v>21cfb4da43591a3bd2ab3237c9ed7bfd68c1ea1a8f29e05533f14fcf7effb7d1</x:v>
      </x:c>
      <x:c r="AO11" s="12" t="str">
        <x:v>D:/ML_KEM_768_1024/09_reports/architecture_tracking/A5_20261024_063318</x:v>
      </x:c>
      <x:c r="AP11" s="2"/>
      <x:c r="AQ11" s="2"/>
      <x:c r="AR11" s="2"/>
    </x:row>
    <x:row r="12" ht="85" customHeight="1">
      <x:c r="A12" s="12" t="str">
        <x:v>A1_20261024_075119</x:v>
      </x:c>
      <x:c r="B12" s="12" t="str">
        <x:v>A1</x:v>
      </x:c>
      <x:c r="C12" s="14" t="n">
        <x:v>46319.32730324074</x:v>
      </x:c>
      <x:c r="D12" s="12" t="str">
        <x:v>Successful</x:v>
      </x:c>
      <x:c r="E12" s="12" t="str">
        <x:v>5CSXFC6D6F31C6</x:v>
      </x:c>
      <x:c r="F12" s="12" t="str">
        <x:v>18.1.0 Build 625 Lite</x:v>
      </x:c>
      <x:c r="G12" s="12" t="n">
        <x:v>2</x:v>
      </x:c>
      <x:c r="H12" s="12" t="n">
        <x:v>160</x:v>
      </x:c>
      <x:c r="I12" s="12" t="n">
        <x:v>24882</x:v>
      </x:c>
      <x:c r="J12" s="12" t="n">
        <x:v>41910</x:v>
      </x:c>
      <x:c r="K12" s="16" t="n">
        <x:f>IF(COUNT(I12,J12)&lt;2,"",I12/J12)</x:f>
        <x:v>0.5937007874015748</x:v>
      </x:c>
      <x:c r="L12" s="12" t="n">
        <x:v>26783</x:v>
      </x:c>
      <x:c r="M12" s="12" t="n">
        <x:v>36387</x:v>
      </x:c>
      <x:c r="N12" s="12" t="n">
        <x:v>36341</x:v>
      </x:c>
      <x:c r="O12" s="12" t="n">
        <x:v>34046</x:v>
      </x:c>
      <x:c r="P12" s="12" t="n">
        <x:v>2295</x:v>
      </x:c>
      <x:c r="Q12" s="12" t="n">
        <x:v>3892</x:v>
      </x:c>
      <x:c r="R12" s="12" t="n">
        <x:v>4191</x:v>
      </x:c>
      <x:c r="S12" s="16" t="n">
        <x:f>IF(COUNT(Q12,R12)&lt;2,"",Q12/R12)</x:f>
        <x:v>0.9286566451920782</x:v>
      </x:c>
      <x:c r="T12" s="12" t="n">
        <x:v>241840</x:v>
      </x:c>
      <x:c r="U12" s="12" t="n">
        <x:v>450560</x:v>
      </x:c>
      <x:c r="V12" s="12" t="n">
        <x:v>44</x:v>
      </x:c>
      <x:c r="W12" s="12" t="n">
        <x:v>553</x:v>
      </x:c>
      <x:c r="X12" s="16" t="n">
        <x:f>IF(COUNT(V12,W12)&lt;2,"",V12/W12)</x:f>
        <x:v>0.07956600361663653</x:v>
      </x:c>
      <x:c r="Y12" s="12" t="n">
        <x:v>28</x:v>
      </x:c>
      <x:c r="Z12" s="12" t="n">
        <x:v>112</x:v>
      </x:c>
      <x:c r="AA12" s="16" t="n">
        <x:f>IF(COUNT(Y12,Z12)&lt;2,"",Y12/Z12)</x:f>
        <x:v>0.25</x:v>
      </x:c>
      <x:c r="AB12" s="12" t="n">
        <x:v>69</x:v>
      </x:c>
      <x:c r="AC12" s="12" t="n">
        <x:v>1</x:v>
      </x:c>
      <x:c r="AD12" s="12" t="n">
        <x:v>224</x:v>
      </x:c>
      <x:c r="AE12" s="12" t="n">
        <x:v>0</x:v>
      </x:c>
      <x:c r="AF12" s="12" t="n">
        <x:v>53.666666666666664</x:v>
      </x:c>
      <x:c r="AG12" s="12" t="n">
        <x:v>7639</x:v>
      </x:c>
      <x:c r="AH12" s="12"/>
      <x:c r="AI12" s="12" t="str">
        <x:v>Chưa có Power Analyzer</x:v>
      </x:c>
      <x:c r="AJ12" s="12" t="str">
        <x:v>33/33 RTL khớp regression</x:v>
      </x:c>
      <x:c r="AK12" s="12" t="str">
        <x:v>SHA256 khớp regression</x:v>
      </x:c>
      <x:c r="AL12" s="12" t="str">
        <x:v>Assignments khớp regression</x:v>
      </x:c>
      <x:c r="AM12" s="12" t="str">
        <x:v>6121078bd039334fb8d61bf1fd39e79ecdfa47f96b8e8a72d60ad4f108ec4bbd</x:v>
      </x:c>
      <x:c r="AN12" s="12" t="str">
        <x:v>d2bdb4c02fcf71a8b6a37e96b40cb1ca671987854109d87a7583732397d8eed4</x:v>
      </x:c>
      <x:c r="AO12" s="12" t="str">
        <x:v>D:/ML_KEM_768_1024/09_reports/architecture_tracking/A1_20261024_075119</x:v>
      </x:c>
      <x:c r="AP12" s="2"/>
      <x:c r="AQ12" s="2"/>
      <x:c r="AR12" s="2"/>
    </x:row>
    <x:row r="13" ht="85" customHeight="1">
      <x:c r="A13" s="12" t="str">
        <x:v>A2_20261024_075531</x:v>
      </x:c>
      <x:c r="B13" s="12" t="str">
        <x:v>A2</x:v>
      </x:c>
      <x:c r="C13" s="14" t="n">
        <x:v>46319.33021990741</x:v>
      </x:c>
      <x:c r="D13" s="12" t="str">
        <x:v>Successful</x:v>
      </x:c>
      <x:c r="E13" s="12" t="str">
        <x:v>5CSXFC6D6F31C6</x:v>
      </x:c>
      <x:c r="F13" s="12" t="str">
        <x:v>18.1.0 Build 625 Lite</x:v>
      </x:c>
      <x:c r="G13" s="12" t="n">
        <x:v>2</x:v>
      </x:c>
      <x:c r="H13" s="12" t="n">
        <x:v>160</x:v>
      </x:c>
      <x:c r="I13" s="12" t="n">
        <x:v>25539</x:v>
      </x:c>
      <x:c r="J13" s="12" t="n">
        <x:v>41910</x:v>
      </x:c>
      <x:c r="K13" s="16" t="n">
        <x:f>IF(COUNT(I13,J13)&lt;2,"",I13/J13)</x:f>
        <x:v>0.6093772369362921</x:v>
      </x:c>
      <x:c r="L13" s="12" t="n">
        <x:v>28084</x:v>
      </x:c>
      <x:c r="M13" s="12" t="n">
        <x:v>36707</x:v>
      </x:c>
      <x:c r="N13" s="12" t="n">
        <x:v>36164</x:v>
      </x:c>
      <x:c r="O13" s="12" t="n">
        <x:v>33211</x:v>
      </x:c>
      <x:c r="P13" s="12" t="n">
        <x:v>2953</x:v>
      </x:c>
      <x:c r="Q13" s="12" t="n">
        <x:v>3925</x:v>
      </x:c>
      <x:c r="R13" s="12" t="n">
        <x:v>4191</x:v>
      </x:c>
      <x:c r="S13" s="16" t="n">
        <x:f>IF(COUNT(Q13,R13)&lt;2,"",Q13/R13)</x:f>
        <x:v>0.9365306609401097</x:v>
      </x:c>
      <x:c r="T13" s="12" t="n">
        <x:v>238768</x:v>
      </x:c>
      <x:c r="U13" s="12" t="n">
        <x:v>460800</x:v>
      </x:c>
      <x:c r="V13" s="12" t="n">
        <x:v>45</x:v>
      </x:c>
      <x:c r="W13" s="12" t="n">
        <x:v>553</x:v>
      </x:c>
      <x:c r="X13" s="16" t="n">
        <x:f>IF(COUNT(V13,W13)&lt;2,"",V13/W13)</x:f>
        <x:v>0.081374321880651</x:v>
      </x:c>
      <x:c r="Y13" s="12" t="n">
        <x:v>28</x:v>
      </x:c>
      <x:c r="Z13" s="12" t="n">
        <x:v>112</x:v>
      </x:c>
      <x:c r="AA13" s="16" t="n">
        <x:f>IF(COUNT(Y13,Z13)&lt;2,"",Y13/Z13)</x:f>
        <x:v>0.25</x:v>
      </x:c>
      <x:c r="AB13" s="12" t="n">
        <x:v>69</x:v>
      </x:c>
      <x:c r="AC13" s="12" t="n">
        <x:v>1</x:v>
      </x:c>
      <x:c r="AD13" s="12" t="n">
        <x:v>226</x:v>
      </x:c>
      <x:c r="AE13" s="12" t="n">
        <x:v>0</x:v>
      </x:c>
      <x:c r="AF13" s="12" t="n">
        <x:v>54.21666666666667</x:v>
      </x:c>
      <x:c r="AG13" s="12" t="n">
        <x:v>7694</x:v>
      </x:c>
      <x:c r="AH13" s="12"/>
      <x:c r="AI13" s="12" t="str">
        <x:v>Chưa có Power Analyzer</x:v>
      </x:c>
      <x:c r="AJ13" s="12" t="str">
        <x:v>34/34 RTL khớp regression</x:v>
      </x:c>
      <x:c r="AK13" s="12" t="str">
        <x:v>SHA256 khớp regression</x:v>
      </x:c>
      <x:c r="AL13" s="12" t="str">
        <x:v>Assignments khớp regression</x:v>
      </x:c>
      <x:c r="AM13" s="12" t="str">
        <x:v>95954fd2606c2ad08387d7ab16109794d8bbbafc098805845e9546b970e24889</x:v>
      </x:c>
      <x:c r="AN13" s="12" t="str">
        <x:v>c7cb510efb6969ddf6c2de8282255318d3265185d4ed294cac228819d9017329</x:v>
      </x:c>
      <x:c r="AO13" s="12" t="str">
        <x:v>D:/ML_KEM_768_1024/09_reports/architecture_tracking/A2_20261024_075531</x:v>
      </x:c>
      <x:c r="AP13" s="2"/>
      <x:c r="AQ13" s="2"/>
      <x:c r="AR13" s="2"/>
    </x:row>
    <x:row r="14" ht="85" customHeight="1">
      <x:c r="A14" s="12" t="str">
        <x:v>A3_20261024_072633</x:v>
      </x:c>
      <x:c r="B14" s="12" t="str">
        <x:v>A3</x:v>
      </x:c>
      <x:c r="C14" s="14" t="n">
        <x:v>46319.31010416667</x:v>
      </x:c>
      <x:c r="D14" s="12" t="str">
        <x:v>Successful</x:v>
      </x:c>
      <x:c r="E14" s="12" t="str">
        <x:v>5CSXFC6D6F31C6</x:v>
      </x:c>
      <x:c r="F14" s="12" t="str">
        <x:v>18.1.0 Build 625 Lite</x:v>
      </x:c>
      <x:c r="G14" s="12" t="n">
        <x:v>2</x:v>
      </x:c>
      <x:c r="H14" s="12" t="n">
        <x:v>160</x:v>
      </x:c>
      <x:c r="I14" s="12" t="n">
        <x:v>27378</x:v>
      </x:c>
      <x:c r="J14" s="12" t="n">
        <x:v>41910</x:v>
      </x:c>
      <x:c r="K14" s="16" t="n">
        <x:f>IF(COUNT(I14,J14)&lt;2,"",I14/J14)</x:f>
        <x:v>0.6532569792412312</x:v>
      </x:c>
      <x:c r="L14" s="12" t="n">
        <x:v>29613</x:v>
      </x:c>
      <x:c r="M14" s="12" t="n">
        <x:v>37864</x:v>
      </x:c>
      <x:c r="N14" s="12" t="n">
        <x:v>37100</x:v>
      </x:c>
      <x:c r="O14" s="12" t="n">
        <x:v>33960</x:v>
      </x:c>
      <x:c r="P14" s="12" t="n">
        <x:v>3140</x:v>
      </x:c>
      <x:c r="Q14" s="12" t="n">
        <x:v>3966</x:v>
      </x:c>
      <x:c r="R14" s="12" t="n">
        <x:v>4191</x:v>
      </x:c>
      <x:c r="S14" s="16" t="n">
        <x:f>IF(COUNT(Q14,R14)&lt;2,"",Q14/R14)</x:f>
        <x:v>0.9463135289906943</x:v>
      </x:c>
      <x:c r="T14" s="12" t="n">
        <x:v>238768</x:v>
      </x:c>
      <x:c r="U14" s="12" t="n">
        <x:v>460800</x:v>
      </x:c>
      <x:c r="V14" s="12" t="n">
        <x:v>45</x:v>
      </x:c>
      <x:c r="W14" s="12" t="n">
        <x:v>553</x:v>
      </x:c>
      <x:c r="X14" s="16" t="n">
        <x:f>IF(COUNT(V14,W14)&lt;2,"",V14/W14)</x:f>
        <x:v>0.081374321880651</x:v>
      </x:c>
      <x:c r="Y14" s="12" t="n">
        <x:v>28</x:v>
      </x:c>
      <x:c r="Z14" s="12" t="n">
        <x:v>112</x:v>
      </x:c>
      <x:c r="AA14" s="16" t="n">
        <x:f>IF(COUNT(Y14,Z14)&lt;2,"",Y14/Z14)</x:f>
        <x:v>0.25</x:v>
      </x:c>
      <x:c r="AB14" s="12" t="n">
        <x:v>69</x:v>
      </x:c>
      <x:c r="AC14" s="12" t="n">
        <x:v>1</x:v>
      </x:c>
      <x:c r="AD14" s="12" t="n">
        <x:v>228</x:v>
      </x:c>
      <x:c r="AE14" s="12" t="n">
        <x:v>0</x:v>
      </x:c>
      <x:c r="AF14" s="12" t="n">
        <x:v>43.95</x:v>
      </x:c>
      <x:c r="AG14" s="12" t="n">
        <x:v>7671</x:v>
      </x:c>
      <x:c r="AH14" s="12"/>
      <x:c r="AI14" s="12" t="str">
        <x:v>Chưa có Power Analyzer</x:v>
      </x:c>
      <x:c r="AJ14" s="12" t="str">
        <x:v>34/34 RTL khớp regression</x:v>
      </x:c>
      <x:c r="AK14" s="12" t="str">
        <x:v>SHA256 khớp regression</x:v>
      </x:c>
      <x:c r="AL14" s="12" t="str">
        <x:v>Assignments khớp regression</x:v>
      </x:c>
      <x:c r="AM14" s="12" t="str">
        <x:v>5f9cb3e21eca25ca2d19be1cc4e74f27a158ec648a9878d223e013103139cc42</x:v>
      </x:c>
      <x:c r="AN14" s="12" t="str">
        <x:v>20b0cb3ca52bfa895d5cdfd54135e55f93ff3f9eff757bc67b7830c92302485c</x:v>
      </x:c>
      <x:c r="AO14" s="12" t="str">
        <x:v>D:/ML_KEM_768_1024/09_reports/architecture_tracking/A3_20261024_072633</x:v>
      </x:c>
      <x:c r="AP14" s="2"/>
      <x:c r="AQ14" s="2"/>
      <x:c r="AR14" s="2"/>
    </x:row>
    <x:row r="15" ht="85" customHeight="1">
      <x:c r="A15" s="12" t="str">
        <x:v>A4_20261024_074341</x:v>
      </x:c>
      <x:c r="B15" s="12" t="str">
        <x:v>A4</x:v>
      </x:c>
      <x:c r="C15" s="14" t="n">
        <x:v>46319.32200231482</x:v>
      </x:c>
      <x:c r="D15" s="12" t="str">
        <x:v>Successful</x:v>
      </x:c>
      <x:c r="E15" s="12" t="str">
        <x:v>5CSXFC6D6F31C6</x:v>
      </x:c>
      <x:c r="F15" s="12" t="str">
        <x:v>18.1.0 Build 625 Lite</x:v>
      </x:c>
      <x:c r="G15" s="12" t="n">
        <x:v>4</x:v>
      </x:c>
      <x:c r="H15" s="12" t="n">
        <x:v>160</x:v>
      </x:c>
      <x:c r="I15" s="12" t="n">
        <x:v>27014</x:v>
      </x:c>
      <x:c r="J15" s="12" t="n">
        <x:v>41910</x:v>
      </x:c>
      <x:c r="K15" s="16" t="n">
        <x:f>IF(COUNT(I15,J15)&lt;2,"",I15/J15)</x:f>
        <x:v>0.6445717012646146</x:v>
      </x:c>
      <x:c r="L15" s="12" t="n">
        <x:v>29380</x:v>
      </x:c>
      <x:c r="M15" s="12" t="n">
        <x:v>37775</x:v>
      </x:c>
      <x:c r="N15" s="12" t="n">
        <x:v>37248</x:v>
      </x:c>
      <x:c r="O15" s="12" t="n">
        <x:v>34107</x:v>
      </x:c>
      <x:c r="P15" s="12" t="n">
        <x:v>3141</x:v>
      </x:c>
      <x:c r="Q15" s="12" t="n">
        <x:v>3941</x:v>
      </x:c>
      <x:c r="R15" s="12" t="n">
        <x:v>4191</x:v>
      </x:c>
      <x:c r="S15" s="16" t="n">
        <x:f>IF(COUNT(Q15,R15)&lt;2,"",Q15/R15)</x:f>
        <x:v>0.940348365545216</x:v>
      </x:c>
      <x:c r="T15" s="12" t="n">
        <x:v>238768</x:v>
      </x:c>
      <x:c r="U15" s="12" t="n">
        <x:v>460800</x:v>
      </x:c>
      <x:c r="V15" s="12" t="n">
        <x:v>45</x:v>
      </x:c>
      <x:c r="W15" s="12" t="n">
        <x:v>553</x:v>
      </x:c>
      <x:c r="X15" s="16" t="n">
        <x:f>IF(COUNT(V15,W15)&lt;2,"",V15/W15)</x:f>
        <x:v>0.081374321880651</x:v>
      </x:c>
      <x:c r="Y15" s="12" t="n">
        <x:v>28</x:v>
      </x:c>
      <x:c r="Z15" s="12" t="n">
        <x:v>112</x:v>
      </x:c>
      <x:c r="AA15" s="16" t="n">
        <x:f>IF(COUNT(Y15,Z15)&lt;2,"",Y15/Z15)</x:f>
        <x:v>0.25</x:v>
      </x:c>
      <x:c r="AB15" s="12" t="n">
        <x:v>69</x:v>
      </x:c>
      <x:c r="AC15" s="12" t="n">
        <x:v>1</x:v>
      </x:c>
      <x:c r="AD15" s="12" t="n">
        <x:v>227</x:v>
      </x:c>
      <x:c r="AE15" s="12" t="n">
        <x:v>0</x:v>
      </x:c>
      <x:c r="AF15" s="12" t="n">
        <x:v>55.2</x:v>
      </x:c>
      <x:c r="AG15" s="12" t="n">
        <x:v>7626</x:v>
      </x:c>
      <x:c r="AH15" s="12"/>
      <x:c r="AI15" s="12" t="str">
        <x:v>Chưa có Power Analyzer</x:v>
      </x:c>
      <x:c r="AJ15" s="12" t="str">
        <x:v>34/34 RTL khớp regression</x:v>
      </x:c>
      <x:c r="AK15" s="12" t="str">
        <x:v>SHA256 khớp regression</x:v>
      </x:c>
      <x:c r="AL15" s="12" t="str">
        <x:v>Assignments khớp regression</x:v>
      </x:c>
      <x:c r="AM15" s="12" t="str">
        <x:v>b7f587ab62c0d2358030c0445aceb8fd479f2392756351e40108180b1fda734d</x:v>
      </x:c>
      <x:c r="AN15" s="12" t="str">
        <x:v>547c398468dc33fcc59c419859d3653de560e44e40862799ee0dd4b9cb5d998f</x:v>
      </x:c>
      <x:c r="AO15" s="12" t="str">
        <x:v>D:/ML_KEM_768_1024/09_reports/architecture_tracking/A4_20261024_074341</x:v>
      </x:c>
      <x:c r="AP15" s="2"/>
      <x:c r="AQ15" s="2"/>
      <x:c r="AR15" s="2"/>
    </x:row>
    <x:row r="16" ht="85" customHeight="1">
      <x:c r="A16" s="12" t="str">
        <x:v>A2V2_20261024_092107</x:v>
      </x:c>
      <x:c r="B16" s="12" t="str">
        <x:v>A2V2</x:v>
      </x:c>
      <x:c r="C16" s="14" t="n">
        <x:v>46319.38966435185</x:v>
      </x:c>
      <x:c r="D16" s="12" t="str">
        <x:v>Successful</x:v>
      </x:c>
      <x:c r="E16" s="12" t="str">
        <x:v>5CSXFC6D6F31C6</x:v>
      </x:c>
      <x:c r="F16" s="12" t="str">
        <x:v>18.1.0 Build 625 Lite</x:v>
      </x:c>
      <x:c r="G16" s="12" t="n">
        <x:v>2</x:v>
      </x:c>
      <x:c r="H16" s="12" t="n">
        <x:v>160</x:v>
      </x:c>
      <x:c r="I16" s="12" t="n">
        <x:v>25690</x:v>
      </x:c>
      <x:c r="J16" s="12" t="n">
        <x:v>41910</x:v>
      </x:c>
      <x:c r="K16" s="16" t="n">
        <x:f>IF(COUNT(I16,J16)&lt;2,"",I16/J16)</x:f>
        <x:v>0.6129801956573611</x:v>
      </x:c>
      <x:c r="L16" s="12" t="n">
        <x:v>28341</x:v>
      </x:c>
      <x:c r="M16" s="12" t="n">
        <x:v>37044</x:v>
      </x:c>
      <x:c r="N16" s="12" t="n">
        <x:v>36463</x:v>
      </x:c>
      <x:c r="O16" s="12" t="n">
        <x:v>33184</x:v>
      </x:c>
      <x:c r="P16" s="12" t="n">
        <x:v>3279</x:v>
      </x:c>
      <x:c r="Q16" s="12" t="n">
        <x:v>3893</x:v>
      </x:c>
      <x:c r="R16" s="12" t="n">
        <x:v>4191</x:v>
      </x:c>
      <x:c r="S16" s="16" t="n">
        <x:f>IF(COUNT(Q16,R16)&lt;2,"",Q16/R16)</x:f>
        <x:v>0.9288952517298974</x:v>
      </x:c>
      <x:c r="T16" s="12" t="n">
        <x:v>238768</x:v>
      </x:c>
      <x:c r="U16" s="12" t="n">
        <x:v>460800</x:v>
      </x:c>
      <x:c r="V16" s="12" t="n">
        <x:v>45</x:v>
      </x:c>
      <x:c r="W16" s="12" t="n">
        <x:v>553</x:v>
      </x:c>
      <x:c r="X16" s="16" t="n">
        <x:f>IF(COUNT(V16,W16)&lt;2,"",V16/W16)</x:f>
        <x:v>0.081374321880651</x:v>
      </x:c>
      <x:c r="Y16" s="12" t="n">
        <x:v>28</x:v>
      </x:c>
      <x:c r="Z16" s="12" t="n">
        <x:v>112</x:v>
      </x:c>
      <x:c r="AA16" s="16" t="n">
        <x:f>IF(COUNT(Y16,Z16)&lt;2,"",Y16/Z16)</x:f>
        <x:v>0.25</x:v>
      </x:c>
      <x:c r="AB16" s="12" t="n">
        <x:v>69</x:v>
      </x:c>
      <x:c r="AC16" s="12" t="n">
        <x:v>1</x:v>
      </x:c>
      <x:c r="AD16" s="12" t="n">
        <x:v>217</x:v>
      </x:c>
      <x:c r="AE16" s="12" t="n">
        <x:v>0</x:v>
      </x:c>
      <x:c r="AF16" s="12" t="n">
        <x:v>34.61666666666667</x:v>
      </x:c>
      <x:c r="AG16" s="12" t="n">
        <x:v>7643</x:v>
      </x:c>
      <x:c r="AH16" s="12"/>
      <x:c r="AI16" s="12" t="str">
        <x:v>Chưa có Power Analyzer</x:v>
      </x:c>
      <x:c r="AJ16" s="12" t="str">
        <x:v>Chưa xác nhận với regression</x:v>
      </x:c>
      <x:c r="AK16" s="12" t="str">
        <x:v>Chưa đối chiếu</x:v>
      </x:c>
      <x:c r="AL16" s="12" t="str">
        <x:v>Snapshot cấu hình hiện tại</x:v>
      </x:c>
      <x:c r="AM16" s="12" t="str">
        <x:v>0697d3ea08fec12a857bc4c2a9331a63054dc527d8e04396a0b476e757578cf1</x:v>
      </x:c>
      <x:c r="AN16" s="12" t="str">
        <x:v>5ac06617d3d231fc2fe08f3a8332c4577cde8278d526b91fe57ad70042327bcf</x:v>
      </x:c>
      <x:c r="AO16" s="12" t="str">
        <x:v>D:/ML_KEM_768_1024/09_reports/architecture_tracking/A2V2_20261024_092107</x:v>
      </x:c>
      <x:c r="AP16" s="2"/>
      <x:c r="AQ16" s="2"/>
      <x:c r="AR16" s="2"/>
    </x:row>
    <x:row r="17" ht="85" customHeight="1">
      <x:c r="A17" s="12" t="str">
        <x:v>A2V3_20261024_092039</x:v>
      </x:c>
      <x:c r="B17" s="12" t="str">
        <x:v>A2V3</x:v>
      </x:c>
      <x:c r="C17" s="14" t="n">
        <x:v>46319.389340277776</x:v>
      </x:c>
      <x:c r="D17" s="12" t="str">
        <x:v>Successful</x:v>
      </x:c>
      <x:c r="E17" s="12" t="str">
        <x:v>5CSXFC6D6F31C6</x:v>
      </x:c>
      <x:c r="F17" s="12" t="str">
        <x:v>18.1.0 Build 625 Lite</x:v>
      </x:c>
      <x:c r="G17" s="12" t="n">
        <x:v>2</x:v>
      </x:c>
      <x:c r="H17" s="12" t="n">
        <x:v>160</x:v>
      </x:c>
      <x:c r="I17" s="12" t="n">
        <x:v>26220</x:v>
      </x:c>
      <x:c r="J17" s="12" t="n">
        <x:v>41910</x:v>
      </x:c>
      <x:c r="K17" s="16" t="n">
        <x:f>IF(COUNT(I17,J17)&lt;2,"",I17/J17)</x:f>
        <x:v>0.6256263421617753</x:v>
      </x:c>
      <x:c r="L17" s="12" t="n">
        <x:v>28507</x:v>
      </x:c>
      <x:c r="M17" s="12" t="n">
        <x:v>37164</x:v>
      </x:c>
      <x:c r="N17" s="12" t="n">
        <x:v>36127</x:v>
      </x:c>
      <x:c r="O17" s="12" t="n">
        <x:v>33269</x:v>
      </x:c>
      <x:c r="P17" s="12" t="n">
        <x:v>2858</x:v>
      </x:c>
      <x:c r="Q17" s="12" t="n">
        <x:v>3917</x:v>
      </x:c>
      <x:c r="R17" s="12" t="n">
        <x:v>4191</x:v>
      </x:c>
      <x:c r="S17" s="16" t="n">
        <x:f>IF(COUNT(Q17,R17)&lt;2,"",Q17/R17)</x:f>
        <x:v>0.9346218086375566</x:v>
      </x:c>
      <x:c r="T17" s="12" t="n">
        <x:v>238768</x:v>
      </x:c>
      <x:c r="U17" s="12" t="n">
        <x:v>460800</x:v>
      </x:c>
      <x:c r="V17" s="12" t="n">
        <x:v>45</x:v>
      </x:c>
      <x:c r="W17" s="12" t="n">
        <x:v>553</x:v>
      </x:c>
      <x:c r="X17" s="16" t="n">
        <x:f>IF(COUNT(V17,W17)&lt;2,"",V17/W17)</x:f>
        <x:v>0.081374321880651</x:v>
      </x:c>
      <x:c r="Y17" s="12" t="n">
        <x:v>28</x:v>
      </x:c>
      <x:c r="Z17" s="12" t="n">
        <x:v>112</x:v>
      </x:c>
      <x:c r="AA17" s="16" t="n">
        <x:f>IF(COUNT(Y17,Z17)&lt;2,"",Y17/Z17)</x:f>
        <x:v>0.25</x:v>
      </x:c>
      <x:c r="AB17" s="12" t="n">
        <x:v>69</x:v>
      </x:c>
      <x:c r="AC17" s="12" t="n">
        <x:v>1</x:v>
      </x:c>
      <x:c r="AD17" s="12" t="n">
        <x:v>212</x:v>
      </x:c>
      <x:c r="AE17" s="12" t="n">
        <x:v>0</x:v>
      </x:c>
      <x:c r="AF17" s="12" t="n">
        <x:v>33.35</x:v>
      </x:c>
      <x:c r="AG17" s="12" t="n">
        <x:v>7666</x:v>
      </x:c>
      <x:c r="AH17" s="12"/>
      <x:c r="AI17" s="12" t="str">
        <x:v>Chưa có Power Analyzer</x:v>
      </x:c>
      <x:c r="AJ17" s="12" t="str">
        <x:v>Chưa xác nhận với regression</x:v>
      </x:c>
      <x:c r="AK17" s="12" t="str">
        <x:v>Chưa đối chiếu</x:v>
      </x:c>
      <x:c r="AL17" s="12" t="str">
        <x:v>Snapshot cấu hình hiện tại</x:v>
      </x:c>
      <x:c r="AM17" s="12" t="str">
        <x:v>771518d5b01a4cde69b3d77c838289c092993b7eb6f2f03df76af5d1585278fa</x:v>
      </x:c>
      <x:c r="AN17" s="12" t="str">
        <x:v>50e3fe859a62b11bb69d5db048d14db8e397e1b27a3780a0326bb93632583323</x:v>
      </x:c>
      <x:c r="AO17" s="12" t="str">
        <x:v>D:/ML_KEM_768_1024/09_reports/architecture_tracking/A2V3_20261024_092039</x:v>
      </x:c>
      <x:c r="AP17" s="2"/>
      <x:c r="AQ17" s="2"/>
      <x:c r="AR17" s="2"/>
    </x:row>
    <x:row r="18" ht="85" customHeight="1">
      <x:c r="A18" s="12" t="str">
        <x:v>KEYDEMO_20261021_150317</x:v>
      </x:c>
      <x:c r="B18" s="12" t="str">
        <x:v>KEYDEMO</x:v>
      </x:c>
      <x:c r="C18" s="14" t="n">
        <x:v>46316.627280092594</x:v>
      </x:c>
      <x:c r="D18" s="12" t="str">
        <x:v>Successful</x:v>
      </x:c>
      <x:c r="E18" s="12" t="str">
        <x:v>5CSXFC6D6F31C6</x:v>
      </x:c>
      <x:c r="F18" s="12" t="str">
        <x:v>18.1.0 Build 625 Lite</x:v>
      </x:c>
      <x:c r="G18" s="12" t="n">
        <x:v>4</x:v>
      </x:c>
      <x:c r="H18" s="12" t="n">
        <x:v>160</x:v>
      </x:c>
      <x:c r="I18" s="12" t="n">
        <x:v>27886</x:v>
      </x:c>
      <x:c r="J18" s="12" t="n">
        <x:v>41910</x:v>
      </x:c>
      <x:c r="K18" s="16" t="n">
        <x:f>IF(COUNT(I18,J18)&lt;2,"",I18/J18)</x:f>
        <x:v>0.6653781913624434</x:v>
      </x:c>
      <x:c r="L18" s="12" t="n">
        <x:v>29710</x:v>
      </x:c>
      <x:c r="M18" s="12" t="n">
        <x:v>39151</x:v>
      </x:c>
      <x:c r="N18" s="12" t="n">
        <x:v>38483</x:v>
      </x:c>
      <x:c r="O18" s="12" t="n">
        <x:v>34864</x:v>
      </x:c>
      <x:c r="P18" s="12" t="n">
        <x:v>3619</x:v>
      </x:c>
      <x:c r="Q18" s="12" t="n">
        <x:v>3995</x:v>
      </x:c>
      <x:c r="R18" s="12" t="n">
        <x:v>4191</x:v>
      </x:c>
      <x:c r="S18" s="16" t="n">
        <x:f>IF(COUNT(Q18,R18)&lt;2,"",Q18/R18)</x:f>
        <x:v>0.9532331185874493</x:v>
      </x:c>
      <x:c r="T18" s="12" t="n">
        <x:v>239320</x:v>
      </x:c>
      <x:c r="U18" s="12" t="n">
        <x:v>563200</x:v>
      </x:c>
      <x:c r="V18" s="12" t="n">
        <x:v>55</x:v>
      </x:c>
      <x:c r="W18" s="12" t="n">
        <x:v>553</x:v>
      </x:c>
      <x:c r="X18" s="16" t="n">
        <x:f>IF(COUNT(V18,W18)&lt;2,"",V18/W18)</x:f>
        <x:v>0.09945750452079566</x:v>
      </x:c>
      <x:c r="Y18" s="12" t="n">
        <x:v>40</x:v>
      </x:c>
      <x:c r="Z18" s="12" t="n">
        <x:v>112</x:v>
      </x:c>
      <x:c r="AA18" s="16" t="n">
        <x:f>IF(COUNT(Y18,Z18)&lt;2,"",Y18/Z18)</x:f>
        <x:v>0.35714285714285715</x:v>
      </x:c>
      <x:c r="AB18" s="12" t="n">
        <x:v>69</x:v>
      </x:c>
      <x:c r="AC18" s="12" t="n">
        <x:v>1</x:v>
      </x:c>
      <x:c r="AD18" s="12" t="n">
        <x:v>221</x:v>
      </x:c>
      <x:c r="AE18" s="12" t="n">
        <x:v>0</x:v>
      </x:c>
      <x:c r="AF18" s="12" t="n">
        <x:v>27.666666666666668</x:v>
      </x:c>
      <x:c r="AG18" s="12" t="n">
        <x:v>7742</x:v>
      </x:c>
      <x:c r="AH18" s="12"/>
      <x:c r="AI18" s="12" t="str">
        <x:v>Chưa có Power Analyzer</x:v>
      </x:c>
      <x:c r="AJ18" s="12" t="str">
        <x:v>Chưa xác nhận với regression</x:v>
      </x:c>
      <x:c r="AK18" s="12" t="str">
        <x:v>Chưa đối chiếu</x:v>
      </x:c>
      <x:c r="AL18" s="12" t="str">
        <x:v>Snapshot cấu hình hiện tại</x:v>
      </x:c>
      <x:c r="AM18" s="12" t="str">
        <x:v>ed06672f2336b2099d092afea2edb01bbd49c82747b0bd86da9da9534e1db927</x:v>
      </x:c>
      <x:c r="AN18" s="12" t="str">
        <x:v>e474ccc4f2dbcaf2d68449a1bbc42c95a16936ab1755ee5ae8e308a4addda141</x:v>
      </x:c>
      <x:c r="AO18" s="12" t="str">
        <x:v>D:/ML_KEM_768_1024/09_reports/architecture_tracking/KEYDEMO_20261021_150317</x:v>
      </x:c>
      <x:c r="AP18" s="2"/>
      <x:c r="AQ18" s="2"/>
      <x:c r="AR18" s="2"/>
    </x:row>
    <x:row r="19" ht="85" customHeight="1">
      <x:c r="A19" s="12" t="str">
        <x:v>A2_20261025_054741</x:v>
      </x:c>
      <x:c r="B19" s="12" t="str">
        <x:v>A2</x:v>
      </x:c>
      <x:c r="C19" s="14" t="n">
        <x:v>46320.24144675926</x:v>
      </x:c>
      <x:c r="D19" s="12" t="str">
        <x:v>Successful</x:v>
      </x:c>
      <x:c r="E19" s="12" t="str">
        <x:v>5CSXFC6D6F31C6</x:v>
      </x:c>
      <x:c r="F19" s="12" t="str">
        <x:v>18.1.0 Build 625 Lite</x:v>
      </x:c>
      <x:c r="G19" s="12" t="n">
        <x:v>2</x:v>
      </x:c>
      <x:c r="H19" s="12" t="n">
        <x:v>160</x:v>
      </x:c>
      <x:c r="I19" s="15" t="n">
        <x:v>26760</x:v>
      </x:c>
      <x:c r="J19" s="15" t="n">
        <x:v>41910</x:v>
      </x:c>
      <x:c r="K19" s="16" t="n">
        <x:f>IF(COUNT(I19,J19)&lt;2,"",I19/J19)</x:f>
        <x:v>0.6385110952040086</x:v>
      </x:c>
      <x:c r="L19" s="15" t="n">
        <x:v>29122</x:v>
      </x:c>
      <x:c r="M19" s="15" t="n">
        <x:v>37298</x:v>
      </x:c>
      <x:c r="N19" s="15" t="n">
        <x:v>37818</x:v>
      </x:c>
      <x:c r="O19" s="15" t="n">
        <x:v>34978</x:v>
      </x:c>
      <x:c r="P19" s="15" t="n">
        <x:v>2840</x:v>
      </x:c>
      <x:c r="Q19" s="15" t="n">
        <x:v>3965</x:v>
      </x:c>
      <x:c r="R19" s="15" t="n">
        <x:v>4191</x:v>
      </x:c>
      <x:c r="S19" s="16" t="n">
        <x:f>IF(COUNT(Q19,R19)&lt;2,"",Q19/R19)</x:f>
        <x:v>0.9460749224528752</x:v>
      </x:c>
      <x:c r="T19" s="15" t="n">
        <x:v>238768</x:v>
      </x:c>
      <x:c r="U19" s="15" t="n">
        <x:v>460800</x:v>
      </x:c>
      <x:c r="V19" s="15" t="n">
        <x:v>45</x:v>
      </x:c>
      <x:c r="W19" s="15" t="n">
        <x:v>553</x:v>
      </x:c>
      <x:c r="X19" s="16" t="n">
        <x:f>IF(COUNT(V19,W19)&lt;2,"",V19/W19)</x:f>
        <x:v>0.081374321880651</x:v>
      </x:c>
      <x:c r="Y19" s="15" t="n">
        <x:v>28</x:v>
      </x:c>
      <x:c r="Z19" s="15" t="n">
        <x:v>112</x:v>
      </x:c>
      <x:c r="AA19" s="16" t="n">
        <x:f>IF(COUNT(Y19,Z19)&lt;2,"",Y19/Z19)</x:f>
        <x:v>0.25</x:v>
      </x:c>
      <x:c r="AB19" s="15" t="n">
        <x:v>69</x:v>
      </x:c>
      <x:c r="AC19" s="15" t="n">
        <x:v>1</x:v>
      </x:c>
      <x:c r="AD19" s="15" t="n">
        <x:v>227</x:v>
      </x:c>
      <x:c r="AE19" s="15" t="n">
        <x:v>0</x:v>
      </x:c>
      <x:c r="AF19" s="17" t="n">
        <x:v>52.266666666666666</x:v>
      </x:c>
      <x:c r="AG19" s="15" t="n">
        <x:v>7690</x:v>
      </x:c>
      <x:c r="AH19" s="12"/>
      <x:c r="AI19" s="12" t="str">
        <x:v>Chưa có Power Analyzer</x:v>
      </x:c>
      <x:c r="AJ19" s="12" t="str">
        <x:v>34/34 RTL tại fit khớp regression</x:v>
      </x:c>
      <x:c r="AK19" s="12" t="str">
        <x:v>SHA256 khớp regression</x:v>
      </x:c>
      <x:c r="AL19" s="12" t="str">
        <x:v>Assignments khớp regression</x:v>
      </x:c>
      <x:c r="AM19" s="12" t="str">
        <x:v>239906762b845ebdfa8d33bf7421ce80a647b3a2e632b475b821d63f995a35f5</x:v>
      </x:c>
      <x:c r="AN19" s="12" t="str">
        <x:v>8025fd9d69231cafc231e604a083889acda0b3fd07e60812558f69fe769af4f4</x:v>
      </x:c>
      <x:c r="AO19" s="12" t="str">
        <x:v>D:/ML_KEM_768_1024/09_reports/architecture_tracking/A2_20261025_latest_before_consolidation</x:v>
      </x:c>
      <x:c r="AP19" s="2"/>
      <x:c r="AQ19" s="2"/>
      <x:c r="AR19" s="2"/>
    </x:row>
    <x:row r="20" ht="85" customHeight="1">
      <x:c r="A20" s="12" t="str">
        <x:v>A4_20261025_055016</x:v>
      </x:c>
      <x:c r="B20" s="12" t="str">
        <x:v>A4</x:v>
      </x:c>
      <x:c r="C20" s="14" t="n">
        <x:v>46320.24324074074</x:v>
      </x:c>
      <x:c r="D20" s="12" t="str">
        <x:v>Successful</x:v>
      </x:c>
      <x:c r="E20" s="12" t="str">
        <x:v>5CSXFC6D6F31C6</x:v>
      </x:c>
      <x:c r="F20" s="12" t="str">
        <x:v>18.1.0 Build 625 Lite</x:v>
      </x:c>
      <x:c r="G20" s="12" t="n">
        <x:v>4</x:v>
      </x:c>
      <x:c r="H20" s="12" t="n">
        <x:v>160</x:v>
      </x:c>
      <x:c r="I20" s="15" t="n">
        <x:v>28952</x:v>
      </x:c>
      <x:c r="J20" s="15" t="n">
        <x:v>41910</x:v>
      </x:c>
      <x:c r="K20" s="16" t="n">
        <x:f>IF(COUNT(I20,J20)&lt;2,"",I20/J20)</x:f>
        <x:v>0.6908136482939633</x:v>
      </x:c>
      <x:c r="L20" s="15" t="n">
        <x:v>29787</x:v>
      </x:c>
      <x:c r="M20" s="15" t="n">
        <x:v>37840</x:v>
      </x:c>
      <x:c r="N20" s="15" t="n">
        <x:v>38307</x:v>
      </x:c>
      <x:c r="O20" s="15" t="n">
        <x:v>35276</x:v>
      </x:c>
      <x:c r="P20" s="15" t="n">
        <x:v>3031</x:v>
      </x:c>
      <x:c r="Q20" s="15" t="n">
        <x:v>3935</x:v>
      </x:c>
      <x:c r="R20" s="15" t="n">
        <x:v>4191</x:v>
      </x:c>
      <x:c r="S20" s="16" t="n">
        <x:f>IF(COUNT(Q20,R20)&lt;2,"",Q20/R20)</x:f>
        <x:v>0.9389167263183011</x:v>
      </x:c>
      <x:c r="T20" s="15" t="n">
        <x:v>238768</x:v>
      </x:c>
      <x:c r="U20" s="15" t="n">
        <x:v>460800</x:v>
      </x:c>
      <x:c r="V20" s="15" t="n">
        <x:v>45</x:v>
      </x:c>
      <x:c r="W20" s="15" t="n">
        <x:v>553</x:v>
      </x:c>
      <x:c r="X20" s="16" t="n">
        <x:f>IF(COUNT(V20,W20)&lt;2,"",V20/W20)</x:f>
        <x:v>0.081374321880651</x:v>
      </x:c>
      <x:c r="Y20" s="15" t="n">
        <x:v>28</x:v>
      </x:c>
      <x:c r="Z20" s="15" t="n">
        <x:v>112</x:v>
      </x:c>
      <x:c r="AA20" s="16" t="n">
        <x:f>IF(COUNT(Y20,Z20)&lt;2,"",Y20/Z20)</x:f>
        <x:v>0.25</x:v>
      </x:c>
      <x:c r="AB20" s="15" t="n">
        <x:v>69</x:v>
      </x:c>
      <x:c r="AC20" s="15" t="n">
        <x:v>1</x:v>
      </x:c>
      <x:c r="AD20" s="15" t="n">
        <x:v>225</x:v>
      </x:c>
      <x:c r="AE20" s="15" t="n">
        <x:v>0</x:v>
      </x:c>
      <x:c r="AF20" s="17" t="n">
        <x:v>53.96666666666667</x:v>
      </x:c>
      <x:c r="AG20" s="15" t="n">
        <x:v>7766</x:v>
      </x:c>
      <x:c r="AH20" s="12"/>
      <x:c r="AI20" s="12" t="str">
        <x:v>Chưa có Power Analyzer</x:v>
      </x:c>
      <x:c r="AJ20" s="12" t="str">
        <x:v>34/34 RTL tại fit khớp regression</x:v>
      </x:c>
      <x:c r="AK20" s="12" t="str">
        <x:v>SHA256 khớp regression</x:v>
      </x:c>
      <x:c r="AL20" s="12" t="str">
        <x:v>Assignments khớp regression</x:v>
      </x:c>
      <x:c r="AM20" s="12" t="str">
        <x:v>4b20592c702fb5d2ae551aa505093028b8b614734b53bfbdf49783d9056075f6</x:v>
      </x:c>
      <x:c r="AN20" s="12" t="str">
        <x:v>e541a9d1ee6628223a3db467c1a95aea42702f68f9c9bb93c01ae2e67f047e06</x:v>
      </x:c>
      <x:c r="AO20" s="12" t="str">
        <x:v>D:/ML_KEM_768_1024/09_reports/architecture_tracking/A4_20261025_latest_before_consolidation</x:v>
      </x:c>
      <x:c r="AP20" s="2"/>
      <x:c r="AQ20" s="2"/>
      <x:c r="AR20" s="2"/>
    </x:row>
    <x:row r="21" ht="85" customHeight="1">
      <x:c r="A21" s="12" t="str">
        <x:v>SB2_20261025_063232</x:v>
      </x:c>
      <x:c r="B21" s="12" t="str">
        <x:v>SB2</x:v>
      </x:c>
      <x:c r="C21" s="14" t="n">
        <x:v>46320.27259259259</x:v>
      </x:c>
      <x:c r="D21" s="12" t="str">
        <x:v>Successful</x:v>
      </x:c>
      <x:c r="E21" s="12" t="str">
        <x:v>5CSXFC6D6F31C6</x:v>
      </x:c>
      <x:c r="F21" s="12" t="str">
        <x:v>18.1.0 Build 625 Lite</x:v>
      </x:c>
      <x:c r="G21" s="12" t="n">
        <x:v>4</x:v>
      </x:c>
      <x:c r="H21" s="12" t="n">
        <x:v>160</x:v>
      </x:c>
      <x:c r="I21" s="15" t="n">
        <x:v>27017</x:v>
      </x:c>
      <x:c r="J21" s="15" t="n">
        <x:v>41910</x:v>
      </x:c>
      <x:c r="K21" s="16" t="n">
        <x:f>IF(COUNT(I21,J21)&lt;2,"",I21/J21)</x:f>
        <x:v>0.6446432832259604</x:v>
      </x:c>
      <x:c r="L21" s="15" t="n">
        <x:v>28729</x:v>
      </x:c>
      <x:c r="M21" s="15" t="n">
        <x:v>37935</x:v>
      </x:c>
      <x:c r="N21" s="15" t="n">
        <x:v>37370</x:v>
      </x:c>
      <x:c r="O21" s="15" t="n">
        <x:v>33975</x:v>
      </x:c>
      <x:c r="P21" s="15" t="n">
        <x:v>3395</x:v>
      </x:c>
      <x:c r="Q21" s="15" t="n">
        <x:v>3926</x:v>
      </x:c>
      <x:c r="R21" s="15" t="n">
        <x:v>4191</x:v>
      </x:c>
      <x:c r="S21" s="16" t="n">
        <x:f>IF(COUNT(Q21,R21)&lt;2,"",Q21/R21)</x:f>
        <x:v>0.9367692674779289</x:v>
      </x:c>
      <x:c r="T21" s="15" t="n">
        <x:v>239008</x:v>
      </x:c>
      <x:c r="U21" s="15" t="n">
        <x:v>501760</x:v>
      </x:c>
      <x:c r="V21" s="15" t="n">
        <x:v>49</x:v>
      </x:c>
      <x:c r="W21" s="15" t="n">
        <x:v>553</x:v>
      </x:c>
      <x:c r="X21" s="16" t="n">
        <x:f>IF(COUNT(V21,W21)&lt;2,"",V21/W21)</x:f>
        <x:v>0.08860759493670886</x:v>
      </x:c>
      <x:c r="Y21" s="15" t="n">
        <x:v>32</x:v>
      </x:c>
      <x:c r="Z21" s="15" t="n">
        <x:v>112</x:v>
      </x:c>
      <x:c r="AA21" s="16" t="n">
        <x:f>IF(COUNT(Y21,Z21)&lt;2,"",Y21/Z21)</x:f>
        <x:v>0.2857142857142857</x:v>
      </x:c>
      <x:c r="AB21" s="15" t="n">
        <x:v>69</x:v>
      </x:c>
      <x:c r="AC21" s="15" t="n">
        <x:v>1</x:v>
      </x:c>
      <x:c r="AD21" s="15" t="n">
        <x:v>228</x:v>
      </x:c>
      <x:c r="AE21" s="15" t="n">
        <x:v>0</x:v>
      </x:c>
      <x:c r="AF21" s="17" t="n">
        <x:v>60.36666666666667</x:v>
      </x:c>
      <x:c r="AG21" s="15" t="n">
        <x:v>7620</x:v>
      </x:c>
      <x:c r="AH21" s="12"/>
      <x:c r="AI21" s="12" t="str">
        <x:v>Chưa có Power Analyzer</x:v>
      </x:c>
      <x:c r="AJ21" s="12" t="str">
        <x:v>36/36 RTL khớp regression</x:v>
      </x:c>
      <x:c r="AK21" s="12" t="str">
        <x:v>SHA256 khớp regression</x:v>
      </x:c>
      <x:c r="AL21" s="12" t="str">
        <x:v>Assignments tương đương regression</x:v>
      </x:c>
      <x:c r="AM21" s="12" t="str">
        <x:v>4af088136253e9114d1dfcb7ce96eb686393a7dd456f06ca9fcfd6ecc767cc42</x:v>
      </x:c>
      <x:c r="AN21" s="12" t="str">
        <x:v>cb7b3280ccdb59b517a64b01dfc210f29e40fd08396d1f9e0c8fd4e558472d20</x:v>
      </x:c>
      <x:c r="AO21" s="12" t="str">
        <x:v>D:/ML_KEM_768_1024/09_reports/architecture_tracking/SB2_20261025_063232</x:v>
      </x:c>
      <x:c r="AP21" s="2"/>
      <x:c r="AQ21" s="2"/>
      <x:c r="AR21" s="2"/>
    </x:row>
    <x:row r="22" ht="85" customHeight="1">
      <x:c r="A22" s="12" t="str">
        <x:v>SB8_20261025_063630</x:v>
      </x:c>
      <x:c r="B22" s="12" t="str">
        <x:v>SB8</x:v>
      </x:c>
      <x:c r="C22" s="14" t="n">
        <x:v>46320.275347222225</x:v>
      </x:c>
      <x:c r="D22" s="12" t="str">
        <x:v>Successful</x:v>
      </x:c>
      <x:c r="E22" s="12" t="str">
        <x:v>5CSXFC6D6F31C6</x:v>
      </x:c>
      <x:c r="F22" s="12" t="str">
        <x:v>18.1.0 Build 625 Lite</x:v>
      </x:c>
      <x:c r="G22" s="12" t="n">
        <x:v>4</x:v>
      </x:c>
      <x:c r="H22" s="12" t="n">
        <x:v>160</x:v>
      </x:c>
      <x:c r="I22" s="15" t="n">
        <x:v>28480</x:v>
      </x:c>
      <x:c r="J22" s="15" t="n">
        <x:v>41910</x:v>
      </x:c>
      <x:c r="K22" s="16" t="n">
        <x:f>IF(COUNT(I22,J22)&lt;2,"",I22/J22)</x:f>
        <x:v>0.6795514197089</x:v>
      </x:c>
      <x:c r="L22" s="15" t="n">
        <x:v>30023</x:v>
      </x:c>
      <x:c r="M22" s="15" t="n">
        <x:v>40084</x:v>
      </x:c>
      <x:c r="N22" s="15" t="n">
        <x:v>38283</x:v>
      </x:c>
      <x:c r="O22" s="15" t="n">
        <x:v>34545</x:v>
      </x:c>
      <x:c r="P22" s="15" t="n">
        <x:v>3738</x:v>
      </x:c>
      <x:c r="Q22" s="15" t="n">
        <x:v>3954</x:v>
      </x:c>
      <x:c r="R22" s="15" t="n">
        <x:v>4191</x:v>
      </x:c>
      <x:c r="S22" s="16" t="n">
        <x:f>IF(COUNT(Q22,R22)&lt;2,"",Q22/R22)</x:f>
        <x:v>0.9434502505368647</x:v>
      </x:c>
      <x:c r="T22" s="15" t="n">
        <x:v>239944</x:v>
      </x:c>
      <x:c r="U22" s="15" t="n">
        <x:v>675840</x:v>
      </x:c>
      <x:c r="V22" s="15" t="n">
        <x:v>66</x:v>
      </x:c>
      <x:c r="W22" s="15" t="n">
        <x:v>553</x:v>
      </x:c>
      <x:c r="X22" s="16" t="n">
        <x:f>IF(COUNT(V22,W22)&lt;2,"",V22/W22)</x:f>
        <x:v>0.11934900542495479</x:v>
      </x:c>
      <x:c r="Y22" s="15" t="n">
        <x:v>56</x:v>
      </x:c>
      <x:c r="Z22" s="15" t="n">
        <x:v>112</x:v>
      </x:c>
      <x:c r="AA22" s="16" t="n">
        <x:f>IF(COUNT(Y22,Z22)&lt;2,"",Y22/Z22)</x:f>
        <x:v>0.5</x:v>
      </x:c>
      <x:c r="AB22" s="15" t="n">
        <x:v>69</x:v>
      </x:c>
      <x:c r="AC22" s="15" t="n">
        <x:v>1</x:v>
      </x:c>
      <x:c r="AD22" s="15" t="n">
        <x:v>229</x:v>
      </x:c>
      <x:c r="AE22" s="15" t="n">
        <x:v>0</x:v>
      </x:c>
      <x:c r="AF22" s="17" t="n">
        <x:v>63.21666666666667</x:v>
      </x:c>
      <x:c r="AG22" s="15" t="n">
        <x:v>7759</x:v>
      </x:c>
      <x:c r="AH22" s="12"/>
      <x:c r="AI22" s="12" t="str">
        <x:v>Chưa có Power Analyzer</x:v>
      </x:c>
      <x:c r="AJ22" s="12" t="str">
        <x:v>36/36 RTL khớp regression</x:v>
      </x:c>
      <x:c r="AK22" s="12" t="str">
        <x:v>SHA256 khớp regression</x:v>
      </x:c>
      <x:c r="AL22" s="12" t="str">
        <x:v>Assignments tương đương regression</x:v>
      </x:c>
      <x:c r="AM22" s="12" t="str">
        <x:v>7f60d6c48d11127f13f8c8abcbfc9550d34cdfc14d456ebe9e63758d2a9918f4</x:v>
      </x:c>
      <x:c r="AN22" s="12" t="str">
        <x:v>36d3d44fba20b488f406cb5d1871f553540afcfe0adaba61acf3da5540a5e826</x:v>
      </x:c>
      <x:c r="AO22" s="12" t="str">
        <x:v>D:/ML_KEM_768_1024/09_reports/architecture_tracking/SB8_20261025_063630</x:v>
      </x:c>
      <x:c r="AP22" s="2"/>
      <x:c r="AQ22" s="2"/>
      <x:c r="AR22" s="2"/>
    </x:row>
    <x:row r="23" ht="85" customHeight="1">
      <x:c r="A23" s="12" t="str">
        <x:v>A2_20261025_070821</x:v>
      </x:c>
      <x:c r="B23" s="12" t="str">
        <x:v>A2</x:v>
      </x:c>
      <x:c r="C23" s="14" t="n">
        <x:v>46320.29746527778</x:v>
      </x:c>
      <x:c r="D23" s="12" t="str">
        <x:v>Successful</x:v>
      </x:c>
      <x:c r="E23" s="12" t="str">
        <x:v>5CSXFC6D6F31C6</x:v>
      </x:c>
      <x:c r="F23" s="12" t="str">
        <x:v>18.1.0 Build 625 Lite</x:v>
      </x:c>
      <x:c r="G23" s="12" t="n">
        <x:v>2</x:v>
      </x:c>
      <x:c r="H23" s="12" t="n">
        <x:v>160</x:v>
      </x:c>
      <x:c r="I23" s="12" t="n">
        <x:v>26699</x:v>
      </x:c>
      <x:c r="J23" s="12" t="n">
        <x:v>41910</x:v>
      </x:c>
      <x:c r="K23" s="16" t="n">
        <x:f>IF(COUNT(I23,J23)&lt;2,"",I23/J23)</x:f>
        <x:v>0.6370555953233119</x:v>
      </x:c>
      <x:c r="L23" s="12" t="n">
        <x:v>29025</x:v>
      </x:c>
      <x:c r="M23" s="12" t="n">
        <x:v>37173</x:v>
      </x:c>
      <x:c r="N23" s="12" t="n">
        <x:v>37781</x:v>
      </x:c>
      <x:c r="O23" s="12" t="n">
        <x:v>34930</x:v>
      </x:c>
      <x:c r="P23" s="12" t="n">
        <x:v>2851</x:v>
      </x:c>
      <x:c r="Q23" s="12" t="n">
        <x:v>3939</x:v>
      </x:c>
      <x:c r="R23" s="12" t="n">
        <x:v>4191</x:v>
      </x:c>
      <x:c r="S23" s="16" t="n">
        <x:f>IF(COUNT(Q23,R23)&lt;2,"",Q23/R23)</x:f>
        <x:v>0.9398711524695776</x:v>
      </x:c>
      <x:c r="T23" s="12" t="n">
        <x:v>238768</x:v>
      </x:c>
      <x:c r="U23" s="12" t="n">
        <x:v>460800</x:v>
      </x:c>
      <x:c r="V23" s="12" t="n">
        <x:v>45</x:v>
      </x:c>
      <x:c r="W23" s="12" t="n">
        <x:v>553</x:v>
      </x:c>
      <x:c r="X23" s="16" t="n">
        <x:f>IF(COUNT(V23,W23)&lt;2,"",V23/W23)</x:f>
        <x:v>0.081374321880651</x:v>
      </x:c>
      <x:c r="Y23" s="12" t="n">
        <x:v>28</x:v>
      </x:c>
      <x:c r="Z23" s="12" t="n">
        <x:v>112</x:v>
      </x:c>
      <x:c r="AA23" s="16" t="n">
        <x:f>IF(COUNT(Y23,Z23)&lt;2,"",Y23/Z23)</x:f>
        <x:v>0.25</x:v>
      </x:c>
      <x:c r="AB23" s="12" t="n">
        <x:v>69</x:v>
      </x:c>
      <x:c r="AC23" s="12" t="n">
        <x:v>1</x:v>
      </x:c>
      <x:c r="AD23" s="12" t="n">
        <x:v>227</x:v>
      </x:c>
      <x:c r="AE23" s="12" t="n">
        <x:v>0</x:v>
      </x:c>
      <x:c r="AF23" s="17" t="n">
        <x:v>48.21666666666667</x:v>
      </x:c>
      <x:c r="AG23" s="12" t="n">
        <x:v>7570</x:v>
      </x:c>
      <x:c r="AH23" s="12"/>
      <x:c r="AI23" s="12" t="str">
        <x:v>Chưa có Power Analyzer</x:v>
      </x:c>
      <x:c r="AJ23" s="12" t="str">
        <x:v>34/34 RTL khớp regression</x:v>
      </x:c>
      <x:c r="AK23" s="12" t="str">
        <x:v>SHA256 khớp regression</x:v>
      </x:c>
      <x:c r="AL23" s="12" t="str">
        <x:v>Assignments tương đương regression</x:v>
      </x:c>
      <x:c r="AM23" s="12" t="str">
        <x:v>2ba6813cd151305bf9e35787aa61ebdef549c2da54048f5b219f4ba7362cf26a</x:v>
      </x:c>
      <x:c r="AN23" s="12" t="str">
        <x:v>7e3b396bcae2464d79aa822bcbe6ddd8fbc0798e1240ce338998f3541c695ed2</x:v>
      </x:c>
      <x:c r="AO23" s="12" t="str">
        <x:v>D:/ML_KEM_768_1024/09_reports/architecture_tracking/A2_20261025_070821</x:v>
      </x:c>
      <x:c r="AP23" s="2"/>
      <x:c r="AQ23" s="2"/>
      <x:c r="AR23" s="2"/>
    </x:row>
    <x:row r="24" ht="85" customHeight="1">
      <x:c r="A24" s="12" t="str">
        <x:v>A2_20261025_080219</x:v>
      </x:c>
      <x:c r="B24" s="12" t="str">
        <x:v>A2</x:v>
      </x:c>
      <x:c r="C24" s="14" t="n">
        <x:v>46320.33494212963</x:v>
      </x:c>
      <x:c r="D24" s="12" t="str">
        <x:v>Successful</x:v>
      </x:c>
      <x:c r="E24" s="12" t="str">
        <x:v>5CSXFC6D6F31C6</x:v>
      </x:c>
      <x:c r="F24" s="12" t="str">
        <x:v>18.1.0 Build 625 Lite</x:v>
      </x:c>
      <x:c r="G24" s="12" t="n">
        <x:v>2</x:v>
      </x:c>
      <x:c r="H24" s="12" t="n">
        <x:v>160</x:v>
      </x:c>
      <x:c r="I24" s="15" t="n">
        <x:v>27560</x:v>
      </x:c>
      <x:c r="J24" s="15" t="n">
        <x:v>41910</x:v>
      </x:c>
      <x:c r="K24" s="16" t="n">
        <x:f>IF(COUNT(I24,J24)&lt;2,"",I24/J24)</x:f>
        <x:v>0.6575996182295395</x:v>
      </x:c>
      <x:c r="L24" s="15" t="n">
        <x:v>29354</x:v>
      </x:c>
      <x:c r="M24" s="15" t="n">
        <x:v>37212</x:v>
      </x:c>
      <x:c r="N24" s="15" t="n">
        <x:v>37708</x:v>
      </x:c>
      <x:c r="O24" s="15" t="n">
        <x:v>35134</x:v>
      </x:c>
      <x:c r="P24" s="15" t="n">
        <x:v>2574</x:v>
      </x:c>
      <x:c r="Q24" s="15" t="n">
        <x:v>3965</x:v>
      </x:c>
      <x:c r="R24" s="15" t="n">
        <x:v>4191</x:v>
      </x:c>
      <x:c r="S24" s="16" t="n">
        <x:f>IF(COUNT(Q24,R24)&lt;2,"",Q24/R24)</x:f>
        <x:v>0.9460749224528752</x:v>
      </x:c>
      <x:c r="T24" s="15" t="n">
        <x:v>238768</x:v>
      </x:c>
      <x:c r="U24" s="15" t="n">
        <x:v>460800</x:v>
      </x:c>
      <x:c r="V24" s="15" t="n">
        <x:v>45</x:v>
      </x:c>
      <x:c r="W24" s="15" t="n">
        <x:v>553</x:v>
      </x:c>
      <x:c r="X24" s="16" t="n">
        <x:f>IF(COUNT(V24,W24)&lt;2,"",V24/W24)</x:f>
        <x:v>0.081374321880651</x:v>
      </x:c>
      <x:c r="Y24" s="15" t="n">
        <x:v>28</x:v>
      </x:c>
      <x:c r="Z24" s="15" t="n">
        <x:v>112</x:v>
      </x:c>
      <x:c r="AA24" s="16" t="n">
        <x:f>IF(COUNT(Y24,Z24)&lt;2,"",Y24/Z24)</x:f>
        <x:v>0.25</x:v>
      </x:c>
      <x:c r="AB24" s="15" t="n">
        <x:v>69</x:v>
      </x:c>
      <x:c r="AC24" s="15" t="n">
        <x:v>1</x:v>
      </x:c>
      <x:c r="AD24" s="15" t="n">
        <x:v>228</x:v>
      </x:c>
      <x:c r="AE24" s="15" t="n">
        <x:v>0</x:v>
      </x:c>
      <x:c r="AF24" s="17" t="n">
        <x:v>27.033333333333335</x:v>
      </x:c>
      <x:c r="AG24" s="15" t="n">
        <x:v>7612</x:v>
      </x:c>
      <x:c r="AH24" s="12"/>
      <x:c r="AI24" s="12" t="str">
        <x:v>Chưa có Power Analyzer</x:v>
      </x:c>
      <x:c r="AJ24" s="12" t="str">
        <x:v>34/34 RTL fit khớp regression 072151</x:v>
      </x:c>
      <x:c r="AK24" s="12" t="str">
        <x:v>SHA256 nguồn SDC giữ nguyên</x:v>
      </x:c>
      <x:c r="AL24" s="12" t="str">
        <x:v>Cấu hình seed 2 giữ nguyên</x:v>
      </x:c>
      <x:c r="AM24" s="12" t="str">
        <x:v>f410bfe690750614a841a52def68ee8c48ce443cf385bebc3fd0edfe9f2acc1e</x:v>
      </x:c>
      <x:c r="AN24" s="12" t="str">
        <x:v>03f7b221139d4bf317adba8f56029e4082367b908f4689ca8b5183d6a1a769c6</x:v>
      </x:c>
      <x:c r="AO24" s="12" t="str">
        <x:v>D:/ML_KEM_768_1024/09_reports/architecture_tracking/A2_20261025_080219</x:v>
      </x:c>
      <x:c r="AP24" s="2"/>
      <x:c r="AQ24" s="2"/>
      <x:c r="AR24" s="2"/>
    </x:row>
    <x:row r="25" ht="85" customHeight="1">
      <x:c r="A25" s="12" t="str">
        <x:v>A2_20261025_084624</x:v>
      </x:c>
      <x:c r="B25" s="12" t="str">
        <x:v>A2</x:v>
      </x:c>
      <x:c r="C25" s="14" t="n">
        <x:v>46320.36555555555</x:v>
      </x:c>
      <x:c r="D25" s="12" t="str">
        <x:v>Successful</x:v>
      </x:c>
      <x:c r="E25" s="12" t="str">
        <x:v>5CSXFC6D6F31C6</x:v>
      </x:c>
      <x:c r="F25" s="12" t="str">
        <x:v>18.1.0 Build 625 Lite</x:v>
      </x:c>
      <x:c r="G25" s="12" t="n">
        <x:v>2</x:v>
      </x:c>
      <x:c r="H25" s="12" t="n">
        <x:v>160</x:v>
      </x:c>
      <x:c r="I25" s="15" t="n">
        <x:v>27378</x:v>
      </x:c>
      <x:c r="J25" s="15" t="n">
        <x:v>41910</x:v>
      </x:c>
      <x:c r="K25" s="16" t="n">
        <x:f>IF(COUNT(I25,J25)&lt;2,"",I25/J25)</x:f>
        <x:v>0.6532569792412312</x:v>
      </x:c>
      <x:c r="L25" s="15" t="n">
        <x:v>29112</x:v>
      </x:c>
      <x:c r="M25" s="15" t="n">
        <x:v>37221</x:v>
      </x:c>
      <x:c r="N25" s="15" t="n">
        <x:v>37675</x:v>
      </x:c>
      <x:c r="O25" s="15" t="n">
        <x:v>34958</x:v>
      </x:c>
      <x:c r="P25" s="15" t="n">
        <x:v>2717</x:v>
      </x:c>
      <x:c r="Q25" s="15" t="n">
        <x:v>3940</x:v>
      </x:c>
      <x:c r="R25" s="15" t="n">
        <x:v>4191</x:v>
      </x:c>
      <x:c r="S25" s="16" t="n">
        <x:f>IF(COUNT(Q25,R25)&lt;2,"",Q25/R25)</x:f>
        <x:v>0.9401097590073968</x:v>
      </x:c>
      <x:c r="T25" s="15" t="n">
        <x:v>238768</x:v>
      </x:c>
      <x:c r="U25" s="15" t="n">
        <x:v>460800</x:v>
      </x:c>
      <x:c r="V25" s="15" t="n">
        <x:v>45</x:v>
      </x:c>
      <x:c r="W25" s="15" t="n">
        <x:v>553</x:v>
      </x:c>
      <x:c r="X25" s="16" t="n">
        <x:f>IF(COUNT(V25,W25)&lt;2,"",V25/W25)</x:f>
        <x:v>0.081374321880651</x:v>
      </x:c>
      <x:c r="Y25" s="15" t="n">
        <x:v>28</x:v>
      </x:c>
      <x:c r="Z25" s="15" t="n">
        <x:v>112</x:v>
      </x:c>
      <x:c r="AA25" s="16" t="n">
        <x:f>IF(COUNT(Y25,Z25)&lt;2,"",Y25/Z25)</x:f>
        <x:v>0.25</x:v>
      </x:c>
      <x:c r="AB25" s="15" t="n">
        <x:v>69</x:v>
      </x:c>
      <x:c r="AC25" s="15" t="n">
        <x:v>1</x:v>
      </x:c>
      <x:c r="AD25" s="15" t="n">
        <x:v>229</x:v>
      </x:c>
      <x:c r="AE25" s="15" t="n">
        <x:v>0</x:v>
      </x:c>
      <x:c r="AF25" s="17" t="n">
        <x:v>32.15</x:v>
      </x:c>
      <x:c r="AG25" s="15" t="n">
        <x:v>7633</x:v>
      </x:c>
      <x:c r="AH25" s="12"/>
      <x:c r="AI25" s="12" t="str">
        <x:v>Chưa có Power Analyzer</x:v>
      </x:c>
      <x:c r="AJ25" s="12" t="str">
        <x:v>34/34 RTL fit khớp regression 080618</x:v>
      </x:c>
      <x:c r="AK25" s="12" t="str">
        <x:v>SHA256 nguồn SDC giữ nguyên</x:v>
      </x:c>
      <x:c r="AL25" s="12" t="str">
        <x:v>Cấu hình seed 2 giữ nguyên</x:v>
      </x:c>
      <x:c r="AM25" s="12" t="str">
        <x:v>424d76273320f14d5e600d1a50dc43af14b8402e357214956da28e4fa2cf48d0</x:v>
      </x:c>
      <x:c r="AN25" s="12" t="str">
        <x:v>70b3f4a9ff09f790c5f4e4988f623ec32e9c0314050aa483153cb6695ec4ba97</x:v>
      </x:c>
      <x:c r="AO25" s="12" t="str">
        <x:v>D:/ML_KEM_768_1024/09_reports/architecture_tracking/A2_20261025_084624</x:v>
      </x:c>
      <x:c r="AP25" s="2"/>
      <x:c r="AQ25" s="2"/>
      <x:c r="AR25" s="2"/>
    </x:row>
    <x:row r="26" ht="85" customHeight="1">
      <x:c r="A26" s="12" t="str">
        <x:v>A2_20261025_094051</x:v>
      </x:c>
      <x:c r="B26" s="12" t="str">
        <x:v>A2</x:v>
      </x:c>
      <x:c r="C26" s="14" t="n">
        <x:v>46320.40336805556</x:v>
      </x:c>
      <x:c r="D26" s="12" t="str">
        <x:v>Successful</x:v>
      </x:c>
      <x:c r="E26" s="12" t="str">
        <x:v>5CSXFC6D6F31C6</x:v>
      </x:c>
      <x:c r="F26" s="12" t="str">
        <x:v>18.1.0 Build 625 Lite</x:v>
      </x:c>
      <x:c r="G26" s="12" t="n">
        <x:v>2</x:v>
      </x:c>
      <x:c r="H26" s="12" t="n">
        <x:v>160</x:v>
      </x:c>
      <x:c r="I26" s="15" t="n">
        <x:v>27857</x:v>
      </x:c>
      <x:c r="J26" s="15" t="n">
        <x:v>41910</x:v>
      </x:c>
      <x:c r="K26" s="16" t="n">
        <x:f>IF(COUNT(I26,J26)&lt;2,"",I26/J26)</x:f>
        <x:v>0.6646862324027678</x:v>
      </x:c>
      <x:c r="L26" s="15" t="n">
        <x:v>29087</x:v>
      </x:c>
      <x:c r="M26" s="15" t="n">
        <x:v>37512</x:v>
      </x:c>
      <x:c r="N26" s="15" t="n">
        <x:v>38228</x:v>
      </x:c>
      <x:c r="O26" s="15" t="n">
        <x:v>35284</x:v>
      </x:c>
      <x:c r="P26" s="15" t="n">
        <x:v>2944</x:v>
      </x:c>
      <x:c r="Q26" s="15" t="n">
        <x:v>3971</x:v>
      </x:c>
      <x:c r="R26" s="15" t="n">
        <x:v>4191</x:v>
      </x:c>
      <x:c r="S26" s="16" t="n">
        <x:f>IF(COUNT(Q26,R26)&lt;2,"",Q26/R26)</x:f>
        <x:v>0.94750656167979</x:v>
      </x:c>
      <x:c r="T26" s="15" t="n">
        <x:v>238768</x:v>
      </x:c>
      <x:c r="U26" s="15" t="n">
        <x:v>460800</x:v>
      </x:c>
      <x:c r="V26" s="15" t="n">
        <x:v>45</x:v>
      </x:c>
      <x:c r="W26" s="15" t="n">
        <x:v>553</x:v>
      </x:c>
      <x:c r="X26" s="16" t="n">
        <x:f>IF(COUNT(V26,W26)&lt;2,"",V26/W26)</x:f>
        <x:v>0.081374321880651</x:v>
      </x:c>
      <x:c r="Y26" s="15" t="n">
        <x:v>28</x:v>
      </x:c>
      <x:c r="Z26" s="15" t="n">
        <x:v>112</x:v>
      </x:c>
      <x:c r="AA26" s="16" t="n">
        <x:f>IF(COUNT(Y26,Z26)&lt;2,"",Y26/Z26)</x:f>
        <x:v>0.25</x:v>
      </x:c>
      <x:c r="AB26" s="15" t="n">
        <x:v>69</x:v>
      </x:c>
      <x:c r="AC26" s="15" t="n">
        <x:v>1</x:v>
      </x:c>
      <x:c r="AD26" s="15" t="n">
        <x:v>230</x:v>
      </x:c>
      <x:c r="AE26" s="15" t="n">
        <x:v>0</x:v>
      </x:c>
      <x:c r="AF26" s="17" t="n">
        <x:v>30.45</x:v>
      </x:c>
      <x:c r="AG26" s="15" t="n">
        <x:v>7661</x:v>
      </x:c>
      <x:c r="AH26" s="12"/>
      <x:c r="AI26" s="12" t="str">
        <x:v>Chưa có Power Analyzer</x:v>
      </x:c>
      <x:c r="AJ26" s="12" t="str">
        <x:v>34/34 RTL fit khớp regression 085959</x:v>
      </x:c>
      <x:c r="AK26" s="12" t="str">
        <x:v>SHA256 nguồn SDC giữ nguyên</x:v>
      </x:c>
      <x:c r="AL26" s="12" t="str">
        <x:v>Cấu hình seed 2 giữ nguyên</x:v>
      </x:c>
      <x:c r="AM26" s="12" t="str">
        <x:v>28d0039bea153beeb957e583c2832b9a0507977858675fa2bb0bfe494a2c6f41</x:v>
      </x:c>
      <x:c r="AN26" s="12" t="str">
        <x:v>82cb74fc2bea0b4ad33e9a9b30277f7ff0b5d95e2d5204856df81693cc9e68b8</x:v>
      </x:c>
      <x:c r="AO26" s="12" t="str">
        <x:v>D:/ML_KEM_768_1024/09_reports/architecture_tracking/A2_20261025_094051</x:v>
      </x:c>
    </x:row>
  </x:sheetData>
  <x:pageMargins left="0.7" right="0.7" top="0.75" bottom="0.75" header="0.3" footer="0.3"/>
  <x:tableParts count="1">
    <x:tablePart xmlns:r="http://schemas.openxmlformats.org/officeDocument/2006/relationships" r:id="Raf757bf3cbe74fb1"/>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7" hidden="0" customWidth="1"/>
    <x:col min="2" max="2" width="2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22" hidden="0" customWidth="1"/>
    <x:col min="15" max="15" width="17" hidden="0" customWidth="1"/>
    <x:col min="16" max="16" width="17" hidden="0" customWidth="1"/>
    <x:col min="17" max="17" width="17" hidden="0" customWidth="1"/>
    <x:col min="18" max="18" width="17" hidden="0" customWidth="1"/>
    <x:col min="19" max="19" width="24" hidden="0" customWidth="1"/>
    <x:col min="20" max="20" width="65" hidden="0" customWidth="1"/>
  </x:cols>
  <x:sheetData>
    <x:row r="1" ht="23" customHeight="1">
      <x:c r="A1" s="2"/>
      <x:c r="B1" s="2"/>
      <x:c r="C1" s="2"/>
      <x:c r="D1" s="2"/>
      <x:c r="E1" s="2"/>
      <x:c r="F1" s="2"/>
      <x:c r="G1" s="2"/>
      <x:c r="H1" s="2"/>
      <x:c r="I1" s="2"/>
      <x:c r="J1" s="2"/>
      <x:c r="K1" s="2"/>
      <x:c r="L1" s="2"/>
      <x:c r="M1" s="2"/>
      <x:c r="N1" s="2"/>
      <x:c r="O1" s="2"/>
      <x:c r="P1" s="2"/>
      <x:c r="Q1" s="2"/>
      <x:c r="R1" s="2"/>
      <x:c r="S1" s="2"/>
      <x:c r="T1" s="2"/>
    </x:row>
    <x:row r="2" ht="23" customHeight="1">
      <x:c r="A2" s="3" t="str">
        <x:v>Timing theo corner</x:v>
      </x:c>
      <x:c r="B2" s="2"/>
      <x:c r="C2" s="2"/>
      <x:c r="D2" s="2"/>
      <x:c r="E2" s="2"/>
      <x:c r="F2" s="2"/>
      <x:c r="G2" s="2"/>
      <x:c r="H2" s="2"/>
      <x:c r="I2" s="2"/>
      <x:c r="J2" s="2"/>
      <x:c r="K2" s="2"/>
      <x:c r="L2" s="2"/>
      <x:c r="M2" s="2"/>
      <x:c r="N2" s="2"/>
      <x:c r="O2" s="2"/>
      <x:c r="P2" s="2"/>
      <x:c r="Q2" s="2"/>
      <x:c r="R2" s="2"/>
      <x:c r="S2" s="2"/>
      <x:c r="T2" s="2"/>
    </x:row>
    <x:row r="3" ht="23" customHeight="1">
      <x:c r="A3" s="2" t="str">
        <x:v>PASS ở đây chỉ áp dụng các đường được STA phân tích. False path không phải bằng chứng CDC an toàn.</x:v>
      </x:c>
      <x:c r="B3" s="2"/>
      <x:c r="C3" s="2"/>
      <x:c r="D3" s="2"/>
      <x:c r="E3" s="2"/>
      <x:c r="F3" s="2"/>
      <x:c r="G3" s="2"/>
      <x:c r="H3" s="2"/>
      <x:c r="I3" s="2"/>
      <x:c r="J3" s="2"/>
      <x:c r="K3" s="2"/>
      <x:c r="L3" s="2"/>
      <x:c r="M3" s="2"/>
      <x:c r="N3" s="2"/>
      <x:c r="O3" s="2"/>
      <x:c r="P3" s="2"/>
      <x:c r="Q3" s="2"/>
      <x:c r="R3" s="2"/>
      <x:c r="S3" s="2"/>
      <x:c r="T3" s="2"/>
    </x:row>
    <x:row r="4" ht="23" customHeight="1">
      <x:c r="A4" s="2"/>
      <x:c r="B4" s="2"/>
      <x:c r="C4" s="2"/>
      <x:c r="D4" s="2"/>
      <x:c r="E4" s="2"/>
      <x:c r="F4" s="2"/>
      <x:c r="G4" s="2"/>
      <x:c r="H4" s="2"/>
      <x:c r="I4" s="2"/>
      <x:c r="J4" s="2"/>
      <x:c r="K4" s="2"/>
      <x:c r="L4" s="2"/>
      <x:c r="M4" s="2"/>
      <x:c r="N4" s="2"/>
      <x:c r="O4" s="2"/>
      <x:c r="P4" s="2"/>
      <x:c r="Q4" s="2"/>
      <x:c r="R4" s="2"/>
      <x:c r="S4" s="2"/>
      <x:c r="T4" s="2"/>
    </x:row>
    <x:row r="5" ht="42" customHeight="1">
      <x:c r="A5" s="7" t="str">
        <x:v>Run ID</x:v>
      </x:c>
      <x:c r="B5" s="7" t="str">
        <x:v>Corner</x:v>
      </x:c>
      <x:c r="C5" s="7" t="str">
        <x:v>Period (ns)</x:v>
      </x:c>
      <x:c r="D5" s="7" t="str">
        <x:v>Setup WNS (ns)</x:v>
      </x:c>
      <x:c r="E5" s="7" t="str">
        <x:v>Setup TNS (ns)</x:v>
      </x:c>
      <x:c r="F5" s="7" t="str">
        <x:v>Hold WNS (ns)</x:v>
      </x:c>
      <x:c r="G5" s="7" t="str">
        <x:v>Hold TNS (ns)</x:v>
      </x:c>
      <x:c r="H5" s="7" t="str">
        <x:v>Min pulse WNS (ns)</x:v>
      </x:c>
      <x:c r="I5" s="7" t="str">
        <x:v>Min pulse TNS (ns)</x:v>
      </x:c>
      <x:c r="J5" s="7" t="str">
        <x:v>Fmax (MHz)</x:v>
      </x:c>
      <x:c r="K5" s="7" t="str">
        <x:v>Restricted Fmax (MHz)</x:v>
      </x:c>
      <x:c r="L5" s="7" t="str">
        <x:v>Unconstrained setup</x:v>
      </x:c>
      <x:c r="M5" s="7" t="str">
        <x:v>Unconstrained hold</x:v>
      </x:c>
      <x:c r="N5" s="7" t="str">
        <x:v>MTBF</x:v>
      </x:c>
      <x:c r="O5" s="7" t="str">
        <x:v>Chains</x:v>
      </x:c>
      <x:c r="P5" s="7" t="str">
        <x:v>Settling (ns)</x:v>
      </x:c>
      <x:c r="Q5" s="7" t="str">
        <x:v>Recovery</x:v>
      </x:c>
      <x:c r="R5" s="7" t="str">
        <x:v>Removal</x:v>
      </x:c>
      <x:c r="S5" s="7" t="str">
        <x:v>Timing status</x:v>
      </x:c>
      <x:c r="T5" s="7" t="str">
        <x:v>Nguồn</x:v>
      </x:c>
    </x:row>
    <x:row r="6" ht="50" customHeight="1">
      <x:c r="A6" s="2" t="str">
        <x:v>A0_20261024_000741</x:v>
      </x:c>
      <x:c r="B6" s="2" t="str">
        <x:v>Slow 1100mV 85C</x:v>
      </x:c>
      <x:c r="C6" s="11" t="n">
        <x:v>6.25</x:v>
      </x:c>
      <x:c r="D6" s="11" t="n">
        <x:v>0.02</x:v>
      </x:c>
      <x:c r="E6" s="11" t="n">
        <x:v>0</x:v>
      </x:c>
      <x:c r="F6" s="11" t="n">
        <x:v>0.266</x:v>
      </x:c>
      <x:c r="G6" s="11" t="n">
        <x:v>0</x:v>
      </x:c>
      <x:c r="H6" s="11" t="n">
        <x:v>1.562</x:v>
      </x:c>
      <x:c r="I6" s="11" t="n">
        <x:v>0</x:v>
      </x:c>
      <x:c r="J6" s="10" t="n">
        <x:v>160.51</x:v>
      </x:c>
      <x:c r="K6" s="10" t="n">
        <x:v>160.51</x:v>
      </x:c>
      <x:c r="L6" s="2" t="n">
        <x:v>0</x:v>
      </x:c>
      <x:c r="M6" s="2" t="n">
        <x:v>0</x:v>
      </x:c>
      <x:c r="N6" s="2" t="str">
        <x:v>Không tính được</x:v>
      </x:c>
      <x:c r="O6" s="2" t="n">
        <x:v>2</x:v>
      </x:c>
      <x:c r="P6" s="11" t="n">
        <x:v>5.01</x:v>
      </x:c>
      <x:c r="Q6" s="2" t="str">
        <x:v>No paths</x:v>
      </x:c>
      <x:c r="R6" s="2" t="str">
        <x:v>No paths</x:v>
      </x:c>
      <x:c r="S6" s="2" t="str">
        <x:f>IF(COUNT(D6:I6,L6:M6)&lt;8,"Chưa đủ dữ liệu",IF(AND(MIN(D6:I6)&gt;=0,L6=0,M6=0),"PASS theo SDC","Cần xử lý"))</x:f>
        <x:v>PASS theo SDC</x:v>
      </x:c>
      <x:c r="T6" s="12" t="str">
        <x:v>D:/ML_KEM_768_1024/09_reports/architecture_tracking/A0_20261024_000741/mlkem_iterative_baseline_de10.sta.rpt</x:v>
      </x:c>
    </x:row>
    <x:row r="7" ht="50" customHeight="1">
      <x:c r="A7" s="2" t="str">
        <x:v>A0_20261024_000741</x:v>
      </x:c>
      <x:c r="B7" s="2" t="str">
        <x:v>Slow 1100mV 0C</x:v>
      </x:c>
      <x:c r="C7" s="11" t="n">
        <x:v>6.25</x:v>
      </x:c>
      <x:c r="D7" s="11" t="n">
        <x:v>0.146</x:v>
      </x:c>
      <x:c r="E7" s="11" t="n">
        <x:v>0</x:v>
      </x:c>
      <x:c r="F7" s="11" t="n">
        <x:v>0.241</x:v>
      </x:c>
      <x:c r="G7" s="11" t="n">
        <x:v>0</x:v>
      </x:c>
      <x:c r="H7" s="11" t="n">
        <x:v>1.562</x:v>
      </x:c>
      <x:c r="I7" s="11" t="n">
        <x:v>0</x:v>
      </x:c>
      <x:c r="J7" s="10" t="n">
        <x:v>163.83</x:v>
      </x:c>
      <x:c r="K7" s="10" t="n">
        <x:v>163.83</x:v>
      </x:c>
      <x:c r="L7" s="2" t="n">
        <x:v>0</x:v>
      </x:c>
      <x:c r="M7" s="2" t="n">
        <x:v>0</x:v>
      </x:c>
      <x:c r="N7" s="2" t="str">
        <x:v>Không tính được</x:v>
      </x:c>
      <x:c r="O7" s="2" t="n">
        <x:v>2</x:v>
      </x:c>
      <x:c r="P7" s="11" t="n">
        <x:v>5.268</x:v>
      </x:c>
      <x:c r="Q7" s="2" t="str">
        <x:v>No paths</x:v>
      </x:c>
      <x:c r="R7" s="2" t="str">
        <x:v>No paths</x:v>
      </x:c>
      <x:c r="S7" s="2" t="str">
        <x:f>IF(COUNT(D7:I7,L7:M7)&lt;8,"Chưa đủ dữ liệu",IF(AND(MIN(D7:I7)&gt;=0,L7=0,M7=0),"PASS theo SDC","Cần xử lý"))</x:f>
        <x:v>PASS theo SDC</x:v>
      </x:c>
      <x:c r="T7" s="12" t="str">
        <x:v>D:/ML_KEM_768_1024/09_reports/architecture_tracking/A0_20261024_000741/mlkem_iterative_baseline_de10.sta.rpt</x:v>
      </x:c>
    </x:row>
    <x:row r="8" ht="50" customHeight="1">
      <x:c r="A8" s="2" t="str">
        <x:v>A0_20261024_000741</x:v>
      </x:c>
      <x:c r="B8" s="2" t="str">
        <x:v>Fast 1100mV 85C</x:v>
      </x:c>
      <x:c r="C8" s="11" t="n">
        <x:v>6.25</x:v>
      </x:c>
      <x:c r="D8" s="11" t="n">
        <x:v>2.219</x:v>
      </x:c>
      <x:c r="E8" s="11" t="n">
        <x:v>0</x:v>
      </x:c>
      <x:c r="F8" s="11" t="n">
        <x:v>0.166</x:v>
      </x:c>
      <x:c r="G8" s="11" t="n">
        <x:v>0</x:v>
      </x:c>
      <x:c r="H8" s="11" t="n">
        <x:v>1.562</x:v>
      </x:c>
      <x:c r="I8" s="11" t="n">
        <x:v>0</x:v>
      </x:c>
      <x:c r="J8" s="10"/>
      <x:c r="K8" s="10"/>
      <x:c r="L8" s="2" t="n">
        <x:v>0</x:v>
      </x:c>
      <x:c r="M8" s="2" t="n">
        <x:v>0</x:v>
      </x:c>
      <x:c r="N8" s="2" t="str">
        <x:v>Không tính được</x:v>
      </x:c>
      <x:c r="O8" s="2" t="n">
        <x:v>2</x:v>
      </x:c>
      <x:c r="P8" s="11" t="n">
        <x:v>7.815</x:v>
      </x:c>
      <x:c r="Q8" s="2" t="str">
        <x:v>No paths</x:v>
      </x:c>
      <x:c r="R8" s="2" t="str">
        <x:v>No paths</x:v>
      </x:c>
      <x:c r="S8" s="2" t="str">
        <x:f>IF(COUNT(D8:I8,L8:M8)&lt;8,"Chưa đủ dữ liệu",IF(AND(MIN(D8:I8)&gt;=0,L8=0,M8=0),"PASS theo SDC","Cần xử lý"))</x:f>
        <x:v>PASS theo SDC</x:v>
      </x:c>
      <x:c r="T8" s="12" t="str">
        <x:v>D:/ML_KEM_768_1024/09_reports/architecture_tracking/A0_20261024_000741/mlkem_iterative_baseline_de10.sta.rpt</x:v>
      </x:c>
    </x:row>
    <x:row r="9" ht="50" customHeight="1">
      <x:c r="A9" s="2" t="str">
        <x:v>A0_20261024_000741</x:v>
      </x:c>
      <x:c r="B9" s="2" t="str">
        <x:v>Fast 1100mV 0C</x:v>
      </x:c>
      <x:c r="C9" s="11" t="n">
        <x:v>6.25</x:v>
      </x:c>
      <x:c r="D9" s="11" t="n">
        <x:v>2.708</x:v>
      </x:c>
      <x:c r="E9" s="11" t="n">
        <x:v>0</x:v>
      </x:c>
      <x:c r="F9" s="11" t="n">
        <x:v>0.145</x:v>
      </x:c>
      <x:c r="G9" s="11" t="n">
        <x:v>0</x:v>
      </x:c>
      <x:c r="H9" s="11" t="n">
        <x:v>1.562</x:v>
      </x:c>
      <x:c r="I9" s="11" t="n">
        <x:v>0</x:v>
      </x:c>
      <x:c r="J9" s="10"/>
      <x:c r="K9" s="10"/>
      <x:c r="L9" s="2" t="n">
        <x:v>0</x:v>
      </x:c>
      <x:c r="M9" s="2" t="n">
        <x:v>0</x:v>
      </x:c>
      <x:c r="N9" s="2" t="str">
        <x:v>Không tính được</x:v>
      </x:c>
      <x:c r="O9" s="2" t="n">
        <x:v>2</x:v>
      </x:c>
      <x:c r="P9" s="11" t="n">
        <x:v>8.293</x:v>
      </x:c>
      <x:c r="Q9" s="2" t="str">
        <x:v>No paths</x:v>
      </x:c>
      <x:c r="R9" s="2" t="str">
        <x:v>No paths</x:v>
      </x:c>
      <x:c r="S9" s="2" t="str">
        <x:f>IF(COUNT(D9:I9,L9:M9)&lt;8,"Chưa đủ dữ liệu",IF(AND(MIN(D9:I9)&gt;=0,L9=0,M9=0),"PASS theo SDC","Cần xử lý"))</x:f>
        <x:v>PASS theo SDC</x:v>
      </x:c>
      <x:c r="T9" s="12" t="str">
        <x:v>D:/ML_KEM_768_1024/09_reports/architecture_tracking/A0_20261024_000741/mlkem_iterative_baseline_de10.sta.rpt</x:v>
      </x:c>
    </x:row>
    <x:row r="10" ht="50" customHeight="1">
      <x:c r="A10" s="2" t="str">
        <x:v>A1_20261024_004402</x:v>
      </x:c>
      <x:c r="B10" s="2" t="str">
        <x:v>Slow 1100mV 85C</x:v>
      </x:c>
      <x:c r="C10" s="11" t="n">
        <x:v>6.25</x:v>
      </x:c>
      <x:c r="D10" s="11" t="n">
        <x:v>-0.43</x:v>
      </x:c>
      <x:c r="E10" s="11" t="n">
        <x:v>-2.71</x:v>
      </x:c>
      <x:c r="F10" s="11" t="n">
        <x:v>0.274</x:v>
      </x:c>
      <x:c r="G10" s="11" t="n">
        <x:v>0</x:v>
      </x:c>
      <x:c r="H10" s="11" t="n">
        <x:v>1.562</x:v>
      </x:c>
      <x:c r="I10" s="11" t="n">
        <x:v>0</x:v>
      </x:c>
      <x:c r="J10" s="10" t="n">
        <x:v>149.7</x:v>
      </x:c>
      <x:c r="K10" s="10" t="n">
        <x:v>149.7</x:v>
      </x:c>
      <x:c r="L10" s="2" t="n">
        <x:v>0</x:v>
      </x:c>
      <x:c r="M10" s="2" t="n">
        <x:v>0</x:v>
      </x:c>
      <x:c r="N10" s="2" t="str">
        <x:v>Không tính được</x:v>
      </x:c>
      <x:c r="O10" s="2" t="n">
        <x:v>2</x:v>
      </x:c>
      <x:c r="P10" s="11" t="n">
        <x:v>3.317</x:v>
      </x:c>
      <x:c r="Q10" s="2" t="str">
        <x:v>No paths</x:v>
      </x:c>
      <x:c r="R10" s="2" t="str">
        <x:v>No paths</x:v>
      </x:c>
      <x:c r="S10" s="2" t="str">
        <x:f>IF(COUNT(D10:I10,L10:M10)&lt;8,"Chưa đủ dữ liệu",IF(AND(MIN(D10:I10)&gt;=0,L10=0,M10=0),"PASS theo SDC","Cần xử lý"))</x:f>
        <x:v>Cần xử lý</x:v>
      </x:c>
      <x:c r="T10" s="12" t="str">
        <x:v>D:/ML_KEM_768_1024/09_reports/architecture_tracking/A1_20261024_004402/mlkem_channel_de10.sta.rpt</x:v>
      </x:c>
    </x:row>
    <x:row r="11" ht="50" customHeight="1">
      <x:c r="A11" s="2" t="str">
        <x:v>A1_20261024_004402</x:v>
      </x:c>
      <x:c r="B11" s="2" t="str">
        <x:v>Slow 1100mV 0C</x:v>
      </x:c>
      <x:c r="C11" s="11" t="n">
        <x:v>6.25</x:v>
      </x:c>
      <x:c r="D11" s="11" t="n">
        <x:v>-0.089</x:v>
      </x:c>
      <x:c r="E11" s="11" t="n">
        <x:v>-0.109</x:v>
      </x:c>
      <x:c r="F11" s="11" t="n">
        <x:v>0.158</x:v>
      </x:c>
      <x:c r="G11" s="11" t="n">
        <x:v>0</x:v>
      </x:c>
      <x:c r="H11" s="11" t="n">
        <x:v>1.562</x:v>
      </x:c>
      <x:c r="I11" s="11" t="n">
        <x:v>0</x:v>
      </x:c>
      <x:c r="J11" s="10" t="n">
        <x:v>157.75</x:v>
      </x:c>
      <x:c r="K11" s="10" t="n">
        <x:v>157.75</x:v>
      </x:c>
      <x:c r="L11" s="2" t="n">
        <x:v>0</x:v>
      </x:c>
      <x:c r="M11" s="2" t="n">
        <x:v>0</x:v>
      </x:c>
      <x:c r="N11" s="2" t="str">
        <x:v>Không tính được</x:v>
      </x:c>
      <x:c r="O11" s="2" t="n">
        <x:v>2</x:v>
      </x:c>
      <x:c r="P11" s="11" t="n">
        <x:v>3.399</x:v>
      </x:c>
      <x:c r="Q11" s="2" t="str">
        <x:v>No paths</x:v>
      </x:c>
      <x:c r="R11" s="2" t="str">
        <x:v>No paths</x:v>
      </x:c>
      <x:c r="S11" s="2" t="str">
        <x:f>IF(COUNT(D11:I11,L11:M11)&lt;8,"Chưa đủ dữ liệu",IF(AND(MIN(D11:I11)&gt;=0,L11=0,M11=0),"PASS theo SDC","Cần xử lý"))</x:f>
        <x:v>Cần xử lý</x:v>
      </x:c>
      <x:c r="T11" s="12" t="str">
        <x:v>D:/ML_KEM_768_1024/09_reports/architecture_tracking/A1_20261024_004402/mlkem_channel_de10.sta.rpt</x:v>
      </x:c>
    </x:row>
    <x:row r="12" ht="50" customHeight="1">
      <x:c r="A12" s="2" t="str">
        <x:v>A1_20261024_004402</x:v>
      </x:c>
      <x:c r="B12" s="2" t="str">
        <x:v>Fast 1100mV 85C</x:v>
      </x:c>
      <x:c r="C12" s="11" t="n">
        <x:v>6.25</x:v>
      </x:c>
      <x:c r="D12" s="11" t="n">
        <x:v>2.021</x:v>
      </x:c>
      <x:c r="E12" s="11" t="n">
        <x:v>0</x:v>
      </x:c>
      <x:c r="F12" s="11" t="n">
        <x:v>0.151</x:v>
      </x:c>
      <x:c r="G12" s="11" t="n">
        <x:v>0</x:v>
      </x:c>
      <x:c r="H12" s="11" t="n">
        <x:v>1.562</x:v>
      </x:c>
      <x:c r="I12" s="11" t="n">
        <x:v>0</x:v>
      </x:c>
      <x:c r="J12" s="10"/>
      <x:c r="K12" s="10"/>
      <x:c r="L12" s="2" t="n">
        <x:v>0</x:v>
      </x:c>
      <x:c r="M12" s="2" t="n">
        <x:v>0</x:v>
      </x:c>
      <x:c r="N12" s="2" t="str">
        <x:v>Không tính được</x:v>
      </x:c>
      <x:c r="O12" s="2" t="n">
        <x:v>2</x:v>
      </x:c>
      <x:c r="P12" s="11" t="n">
        <x:v>4.285</x:v>
      </x:c>
      <x:c r="Q12" s="2" t="str">
        <x:v>No paths</x:v>
      </x:c>
      <x:c r="R12" s="2" t="str">
        <x:v>No paths</x:v>
      </x:c>
      <x:c r="S12" s="2" t="str">
        <x:f>IF(COUNT(D12:I12,L12:M12)&lt;8,"Chưa đủ dữ liệu",IF(AND(MIN(D12:I12)&gt;=0,L12=0,M12=0),"PASS theo SDC","Cần xử lý"))</x:f>
        <x:v>PASS theo SDC</x:v>
      </x:c>
      <x:c r="T12" s="12" t="str">
        <x:v>D:/ML_KEM_768_1024/09_reports/architecture_tracking/A1_20261024_004402/mlkem_channel_de10.sta.rpt</x:v>
      </x:c>
    </x:row>
    <x:row r="13" ht="50" customHeight="1">
      <x:c r="A13" s="2" t="str">
        <x:v>A1_20261024_004402</x:v>
      </x:c>
      <x:c r="B13" s="2" t="str">
        <x:v>Fast 1100mV 0C</x:v>
      </x:c>
      <x:c r="C13" s="11" t="n">
        <x:v>6.25</x:v>
      </x:c>
      <x:c r="D13" s="11" t="n">
        <x:v>2.557</x:v>
      </x:c>
      <x:c r="E13" s="11" t="n">
        <x:v>0</x:v>
      </x:c>
      <x:c r="F13" s="11" t="n">
        <x:v>0.128</x:v>
      </x:c>
      <x:c r="G13" s="11" t="n">
        <x:v>0</x:v>
      </x:c>
      <x:c r="H13" s="11" t="n">
        <x:v>1.562</x:v>
      </x:c>
      <x:c r="I13" s="11" t="n">
        <x:v>0</x:v>
      </x:c>
      <x:c r="J13" s="10"/>
      <x:c r="K13" s="10"/>
      <x:c r="L13" s="2" t="n">
        <x:v>0</x:v>
      </x:c>
      <x:c r="M13" s="2" t="n">
        <x:v>0</x:v>
      </x:c>
      <x:c r="N13" s="2" t="str">
        <x:v>Không tính được</x:v>
      </x:c>
      <x:c r="O13" s="2" t="n">
        <x:v>2</x:v>
      </x:c>
      <x:c r="P13" s="11" t="n">
        <x:v>4.485</x:v>
      </x:c>
      <x:c r="Q13" s="2" t="str">
        <x:v>No paths</x:v>
      </x:c>
      <x:c r="R13" s="2" t="str">
        <x:v>No paths</x:v>
      </x:c>
      <x:c r="S13" s="2" t="str">
        <x:f>IF(COUNT(D13:I13,L13:M13)&lt;8,"Chưa đủ dữ liệu",IF(AND(MIN(D13:I13)&gt;=0,L13=0,M13=0),"PASS theo SDC","Cần xử lý"))</x:f>
        <x:v>PASS theo SDC</x:v>
      </x:c>
      <x:c r="T13" s="12" t="str">
        <x:v>D:/ML_KEM_768_1024/09_reports/architecture_tracking/A1_20261024_004402/mlkem_channel_de10.sta.rpt</x:v>
      </x:c>
    </x:row>
    <x:row r="14" ht="50" customHeight="1">
      <x:c r="A14" s="2" t="str">
        <x:v>A2_CHO</x:v>
      </x:c>
      <x:c r="B14" s="2" t="str">
        <x:v>Slow 1100mV 85C</x:v>
      </x:c>
      <x:c r="C14" s="11" t="n">
        <x:v>6.25</x:v>
      </x:c>
      <x:c r="D14" s="11"/>
      <x:c r="E14" s="11"/>
      <x:c r="F14" s="11"/>
      <x:c r="G14" s="11"/>
      <x:c r="H14" s="11"/>
      <x:c r="I14" s="11"/>
      <x:c r="J14" s="10"/>
      <x:c r="K14" s="10"/>
      <x:c r="L14" s="2"/>
      <x:c r="M14" s="2"/>
      <x:c r="N14" s="2" t="str">
        <x:v>Chưa đánh giá</x:v>
      </x:c>
      <x:c r="O14" s="2"/>
      <x:c r="P14" s="11"/>
      <x:c r="Q14" s="2"/>
      <x:c r="R14" s="2"/>
      <x:c r="S14" s="2" t="str">
        <x:f>IF(COUNT(D14:I14,L14:M14)&lt;8,"Chưa đủ dữ liệu",IF(AND(MIN(D14:I14)&gt;=0,L14=0,M14=0),"PASS theo SDC","Cần xử lý"))</x:f>
        <x:v>Chưa đủ dữ liệu</x:v>
      </x:c>
      <x:c r="T14" s="12"/>
    </x:row>
    <x:row r="15" ht="50" customHeight="1">
      <x:c r="A15" s="2" t="str">
        <x:v>A2_CHO</x:v>
      </x:c>
      <x:c r="B15" s="2" t="str">
        <x:v>Slow 1100mV 0C</x:v>
      </x:c>
      <x:c r="C15" s="11" t="n">
        <x:v>6.25</x:v>
      </x:c>
      <x:c r="D15" s="11"/>
      <x:c r="E15" s="11"/>
      <x:c r="F15" s="11"/>
      <x:c r="G15" s="11"/>
      <x:c r="H15" s="11"/>
      <x:c r="I15" s="11"/>
      <x:c r="J15" s="10"/>
      <x:c r="K15" s="10"/>
      <x:c r="L15" s="2"/>
      <x:c r="M15" s="2"/>
      <x:c r="N15" s="2" t="str">
        <x:v>Chưa đánh giá</x:v>
      </x:c>
      <x:c r="O15" s="2"/>
      <x:c r="P15" s="11"/>
      <x:c r="Q15" s="2"/>
      <x:c r="R15" s="2"/>
      <x:c r="S15" s="2" t="str">
        <x:f>IF(COUNT(D15:I15,L15:M15)&lt;8,"Chưa đủ dữ liệu",IF(AND(MIN(D15:I15)&gt;=0,L15=0,M15=0),"PASS theo SDC","Cần xử lý"))</x:f>
        <x:v>Chưa đủ dữ liệu</x:v>
      </x:c>
      <x:c r="T15" s="12"/>
    </x:row>
    <x:row r="16" ht="50" customHeight="1">
      <x:c r="A16" s="2" t="str">
        <x:v>A2_CHO</x:v>
      </x:c>
      <x:c r="B16" s="2" t="str">
        <x:v>Fast 1100mV 85C</x:v>
      </x:c>
      <x:c r="C16" s="11" t="n">
        <x:v>6.25</x:v>
      </x:c>
      <x:c r="D16" s="11"/>
      <x:c r="E16" s="11"/>
      <x:c r="F16" s="11"/>
      <x:c r="G16" s="11"/>
      <x:c r="H16" s="11"/>
      <x:c r="I16" s="11"/>
      <x:c r="J16" s="10"/>
      <x:c r="K16" s="10"/>
      <x:c r="L16" s="2"/>
      <x:c r="M16" s="2"/>
      <x:c r="N16" s="2" t="str">
        <x:v>Chưa đánh giá</x:v>
      </x:c>
      <x:c r="O16" s="2"/>
      <x:c r="P16" s="11"/>
      <x:c r="Q16" s="2"/>
      <x:c r="R16" s="2"/>
      <x:c r="S16" s="2" t="str">
        <x:f>IF(COUNT(D16:I16,L16:M16)&lt;8,"Chưa đủ dữ liệu",IF(AND(MIN(D16:I16)&gt;=0,L16=0,M16=0),"PASS theo SDC","Cần xử lý"))</x:f>
        <x:v>Chưa đủ dữ liệu</x:v>
      </x:c>
      <x:c r="T16" s="12"/>
    </x:row>
    <x:row r="17" ht="50" customHeight="1">
      <x:c r="A17" s="2" t="str">
        <x:v>A2_CHO</x:v>
      </x:c>
      <x:c r="B17" s="2" t="str">
        <x:v>Fast 1100mV 0C</x:v>
      </x:c>
      <x:c r="C17" s="11" t="n">
        <x:v>6.25</x:v>
      </x:c>
      <x:c r="D17" s="11"/>
      <x:c r="E17" s="11"/>
      <x:c r="F17" s="11"/>
      <x:c r="G17" s="11"/>
      <x:c r="H17" s="11"/>
      <x:c r="I17" s="11"/>
      <x:c r="J17" s="10"/>
      <x:c r="K17" s="10"/>
      <x:c r="L17" s="2"/>
      <x:c r="M17" s="2"/>
      <x:c r="N17" s="2" t="str">
        <x:v>Chưa đánh giá</x:v>
      </x:c>
      <x:c r="O17" s="2"/>
      <x:c r="P17" s="11"/>
      <x:c r="Q17" s="2"/>
      <x:c r="R17" s="2"/>
      <x:c r="S17" s="2" t="str">
        <x:f>IF(COUNT(D17:I17,L17:M17)&lt;8,"Chưa đủ dữ liệu",IF(AND(MIN(D17:I17)&gt;=0,L17=0,M17=0),"PASS theo SDC","Cần xử lý"))</x:f>
        <x:v>Chưa đủ dữ liệu</x:v>
      </x:c>
      <x:c r="T17" s="12"/>
    </x:row>
    <x:row r="18" ht="50" customHeight="1">
      <x:c r="A18" s="2" t="str">
        <x:v>A3_20261024_023911</x:v>
      </x:c>
      <x:c r="B18" s="2" t="str">
        <x:v>Slow 1100mV 85C</x:v>
      </x:c>
      <x:c r="C18" s="11" t="n">
        <x:v>6.25</x:v>
      </x:c>
      <x:c r="D18" s="11" t="n">
        <x:v>-0.14</x:v>
      </x:c>
      <x:c r="E18" s="11" t="n">
        <x:v>-0.472</x:v>
      </x:c>
      <x:c r="F18" s="11" t="n">
        <x:v>0.26</x:v>
      </x:c>
      <x:c r="G18" s="11" t="n">
        <x:v>0</x:v>
      </x:c>
      <x:c r="H18" s="11" t="n">
        <x:v>1.562</x:v>
      </x:c>
      <x:c r="I18" s="11" t="n">
        <x:v>0</x:v>
      </x:c>
      <x:c r="J18" s="10" t="n">
        <x:v>156.49</x:v>
      </x:c>
      <x:c r="K18" s="10" t="n">
        <x:v>156.49</x:v>
      </x:c>
      <x:c r="L18" s="2" t="n">
        <x:v>0</x:v>
      </x:c>
      <x:c r="M18" s="2" t="n">
        <x:v>0</x:v>
      </x:c>
      <x:c r="N18" s="2" t="str">
        <x:v>Không tính được</x:v>
      </x:c>
      <x:c r="O18" s="2" t="n">
        <x:v>6</x:v>
      </x:c>
      <x:c r="P18" s="11" t="n">
        <x:v>5.22</x:v>
      </x:c>
      <x:c r="Q18" s="2" t="str">
        <x:v>No paths</x:v>
      </x:c>
      <x:c r="R18" s="2" t="str">
        <x:v>No paths</x:v>
      </x:c>
      <x:c r="S18" s="2" t="str">
        <x:f>IF(COUNT(D18:I18,L18:M18)&lt;8,"Chưa đủ dữ liệu",IF(AND(MIN(D18:I18)&gt;=0,L18=0,M18=0),"PASS theo SDC","Cần xử lý"))</x:f>
        <x:v>Cần xử lý</x:v>
      </x:c>
      <x:c r="T18" s="12" t="str">
        <x:v>D:/ML_KEM_768_1024/09_reports/architecture_tracking/A3_20261024_023911/mlkem_continuous_banked_cycle_opt_de10.sta.rpt</x:v>
      </x:c>
    </x:row>
    <x:row r="19" ht="50" customHeight="1">
      <x:c r="A19" s="2" t="str">
        <x:v>A3_20261024_023911</x:v>
      </x:c>
      <x:c r="B19" s="2" t="str">
        <x:v>Slow 1100mV 0C</x:v>
      </x:c>
      <x:c r="C19" s="11" t="n">
        <x:v>6.25</x:v>
      </x:c>
      <x:c r="D19" s="11" t="n">
        <x:v>-0.105</x:v>
      </x:c>
      <x:c r="E19" s="11" t="n">
        <x:v>-0.105</x:v>
      </x:c>
      <x:c r="F19" s="11" t="n">
        <x:v>0.235</x:v>
      </x:c>
      <x:c r="G19" s="11" t="n">
        <x:v>0</x:v>
      </x:c>
      <x:c r="H19" s="11" t="n">
        <x:v>1.562</x:v>
      </x:c>
      <x:c r="I19" s="11" t="n">
        <x:v>0</x:v>
      </x:c>
      <x:c r="J19" s="10" t="n">
        <x:v>157.36</x:v>
      </x:c>
      <x:c r="K19" s="10" t="n">
        <x:v>157.36</x:v>
      </x:c>
      <x:c r="L19" s="2" t="n">
        <x:v>0</x:v>
      </x:c>
      <x:c r="M19" s="2" t="n">
        <x:v>0</x:v>
      </x:c>
      <x:c r="N19" s="2" t="str">
        <x:v>Không tính được</x:v>
      </x:c>
      <x:c r="O19" s="2" t="n">
        <x:v>6</x:v>
      </x:c>
      <x:c r="P19" s="11" t="n">
        <x:v>5.225</x:v>
      </x:c>
      <x:c r="Q19" s="2" t="str">
        <x:v>No paths</x:v>
      </x:c>
      <x:c r="R19" s="2" t="str">
        <x:v>No paths</x:v>
      </x:c>
      <x:c r="S19" s="2" t="str">
        <x:f>IF(COUNT(D19:I19,L19:M19)&lt;8,"Chưa đủ dữ liệu",IF(AND(MIN(D19:I19)&gt;=0,L19=0,M19=0),"PASS theo SDC","Cần xử lý"))</x:f>
        <x:v>Cần xử lý</x:v>
      </x:c>
      <x:c r="T19" s="12" t="str">
        <x:v>D:/ML_KEM_768_1024/09_reports/architecture_tracking/A3_20261024_023911/mlkem_continuous_banked_cycle_opt_de10.sta.rpt</x:v>
      </x:c>
    </x:row>
    <x:row r="20" ht="50" customHeight="1">
      <x:c r="A20" s="2" t="str">
        <x:v>A3_20261024_023911</x:v>
      </x:c>
      <x:c r="B20" s="2" t="str">
        <x:v>Fast 1100mV 85C</x:v>
      </x:c>
      <x:c r="C20" s="11" t="n">
        <x:v>6.25</x:v>
      </x:c>
      <x:c r="D20" s="11" t="n">
        <x:v>1.95</x:v>
      </x:c>
      <x:c r="E20" s="11" t="n">
        <x:v>0</x:v>
      </x:c>
      <x:c r="F20" s="11" t="n">
        <x:v>0.157</x:v>
      </x:c>
      <x:c r="G20" s="11" t="n">
        <x:v>0</x:v>
      </x:c>
      <x:c r="H20" s="11" t="n">
        <x:v>1.562</x:v>
      </x:c>
      <x:c r="I20" s="11" t="n">
        <x:v>0</x:v>
      </x:c>
      <x:c r="J20" s="10"/>
      <x:c r="K20" s="10"/>
      <x:c r="L20" s="2" t="n">
        <x:v>0</x:v>
      </x:c>
      <x:c r="M20" s="2" t="n">
        <x:v>0</x:v>
      </x:c>
      <x:c r="N20" s="2" t="str">
        <x:v>Không tính được</x:v>
      </x:c>
      <x:c r="O20" s="2" t="n">
        <x:v>6</x:v>
      </x:c>
      <x:c r="P20" s="11" t="n">
        <x:v>5.624</x:v>
      </x:c>
      <x:c r="Q20" s="2" t="str">
        <x:v>No paths</x:v>
      </x:c>
      <x:c r="R20" s="2" t="str">
        <x:v>No paths</x:v>
      </x:c>
      <x:c r="S20" s="2" t="str">
        <x:f>IF(COUNT(D20:I20,L20:M20)&lt;8,"Chưa đủ dữ liệu",IF(AND(MIN(D20:I20)&gt;=0,L20=0,M20=0),"PASS theo SDC","Cần xử lý"))</x:f>
        <x:v>PASS theo SDC</x:v>
      </x:c>
      <x:c r="T20" s="12" t="str">
        <x:v>D:/ML_KEM_768_1024/09_reports/architecture_tracking/A3_20261024_023911/mlkem_continuous_banked_cycle_opt_de10.sta.rpt</x:v>
      </x:c>
    </x:row>
    <x:row r="21" ht="50" customHeight="1">
      <x:c r="A21" s="2" t="str">
        <x:v>A3_20261024_023911</x:v>
      </x:c>
      <x:c r="B21" s="2" t="str">
        <x:v>Fast 1100mV 0C</x:v>
      </x:c>
      <x:c r="C21" s="11" t="n">
        <x:v>6.25</x:v>
      </x:c>
      <x:c r="D21" s="11" t="n">
        <x:v>2.441</x:v>
      </x:c>
      <x:c r="E21" s="11" t="n">
        <x:v>0</x:v>
      </x:c>
      <x:c r="F21" s="11" t="n">
        <x:v>0.132</x:v>
      </x:c>
      <x:c r="G21" s="11" t="n">
        <x:v>0</x:v>
      </x:c>
      <x:c r="H21" s="11" t="n">
        <x:v>1.562</x:v>
      </x:c>
      <x:c r="I21" s="11" t="n">
        <x:v>0</x:v>
      </x:c>
      <x:c r="J21" s="10"/>
      <x:c r="K21" s="10"/>
      <x:c r="L21" s="2" t="n">
        <x:v>0</x:v>
      </x:c>
      <x:c r="M21" s="2" t="n">
        <x:v>0</x:v>
      </x:c>
      <x:c r="N21" s="2" t="str">
        <x:v>Không tính được</x:v>
      </x:c>
      <x:c r="O21" s="2" t="n">
        <x:v>6</x:v>
      </x:c>
      <x:c r="P21" s="11" t="n">
        <x:v>5.659</x:v>
      </x:c>
      <x:c r="Q21" s="2" t="str">
        <x:v>No paths</x:v>
      </x:c>
      <x:c r="R21" s="2" t="str">
        <x:v>No paths</x:v>
      </x:c>
      <x:c r="S21" s="2" t="str">
        <x:f>IF(COUNT(D21:I21,L21:M21)&lt;8,"Chưa đủ dữ liệu",IF(AND(MIN(D21:I21)&gt;=0,L21=0,M21=0),"PASS theo SDC","Cần xử lý"))</x:f>
        <x:v>PASS theo SDC</x:v>
      </x:c>
      <x:c r="T21" s="12" t="str">
        <x:v>D:/ML_KEM_768_1024/09_reports/architecture_tracking/A3_20261024_023911/mlkem_continuous_banked_cycle_opt_de10.sta.rpt</x:v>
      </x:c>
    </x:row>
    <x:row r="22" ht="50" customHeight="1">
      <x:c r="A22" s="2" t="str">
        <x:v>A4_20261024_023929</x:v>
      </x:c>
      <x:c r="B22" s="2" t="str">
        <x:v>Slow 1100mV 85C</x:v>
      </x:c>
      <x:c r="C22" s="11" t="n">
        <x:v>6.25</x:v>
      </x:c>
      <x:c r="D22" s="11" t="n">
        <x:v>-0.705</x:v>
      </x:c>
      <x:c r="E22" s="11" t="n">
        <x:v>-20.214</x:v>
      </x:c>
      <x:c r="F22" s="11" t="n">
        <x:v>0.247</x:v>
      </x:c>
      <x:c r="G22" s="11" t="n">
        <x:v>0</x:v>
      </x:c>
      <x:c r="H22" s="11" t="n">
        <x:v>1.562</x:v>
      </x:c>
      <x:c r="I22" s="11" t="n">
        <x:v>0</x:v>
      </x:c>
      <x:c r="J22" s="10" t="n">
        <x:v>143.78</x:v>
      </x:c>
      <x:c r="K22" s="10" t="n">
        <x:v>143.78</x:v>
      </x:c>
      <x:c r="L22" s="2" t="n">
        <x:v>0</x:v>
      </x:c>
      <x:c r="M22" s="2" t="n">
        <x:v>0</x:v>
      </x:c>
      <x:c r="N22" s="2" t="str">
        <x:v>Không tính được</x:v>
      </x:c>
      <x:c r="O22" s="2" t="n">
        <x:v>6</x:v>
      </x:c>
      <x:c r="P22" s="11" t="n">
        <x:v>5.645</x:v>
      </x:c>
      <x:c r="Q22" s="2" t="str">
        <x:v>No paths</x:v>
      </x:c>
      <x:c r="R22" s="2" t="str">
        <x:v>No paths</x:v>
      </x:c>
      <x:c r="S22" s="2" t="str">
        <x:f>IF(COUNT(D22:I22,L22:M22)&lt;8,"Chưa đủ dữ liệu",IF(AND(MIN(D22:I22)&gt;=0,L22=0,M22=0),"PASS theo SDC","Cần xử lý"))</x:f>
        <x:v>Cần xử lý</x:v>
      </x:c>
      <x:c r="T22" s="12" t="str">
        <x:v>D:/ML_KEM_768_1024/09_reports/architecture_tracking/A4_20261024_023929/mlkem_continuous_banked_cycle_opt_v2_de10.sta.rpt</x:v>
      </x:c>
    </x:row>
    <x:row r="23" ht="50" customHeight="1">
      <x:c r="A23" s="2" t="str">
        <x:v>A4_20261024_023929</x:v>
      </x:c>
      <x:c r="B23" s="2" t="str">
        <x:v>Slow 1100mV 0C</x:v>
      </x:c>
      <x:c r="C23" s="11" t="n">
        <x:v>6.25</x:v>
      </x:c>
      <x:c r="D23" s="11" t="n">
        <x:v>-0.572</x:v>
      </x:c>
      <x:c r="E23" s="11" t="n">
        <x:v>-2.78</x:v>
      </x:c>
      <x:c r="F23" s="11" t="n">
        <x:v>0.179</x:v>
      </x:c>
      <x:c r="G23" s="11" t="n">
        <x:v>0</x:v>
      </x:c>
      <x:c r="H23" s="11" t="n">
        <x:v>1.562</x:v>
      </x:c>
      <x:c r="I23" s="11" t="n">
        <x:v>0</x:v>
      </x:c>
      <x:c r="J23" s="10" t="n">
        <x:v>146.58</x:v>
      </x:c>
      <x:c r="K23" s="10" t="n">
        <x:v>146.58</x:v>
      </x:c>
      <x:c r="L23" s="2" t="n">
        <x:v>0</x:v>
      </x:c>
      <x:c r="M23" s="2" t="n">
        <x:v>0</x:v>
      </x:c>
      <x:c r="N23" s="2" t="str">
        <x:v>Không tính được</x:v>
      </x:c>
      <x:c r="O23" s="2" t="n">
        <x:v>6</x:v>
      </x:c>
      <x:c r="P23" s="11" t="n">
        <x:v>5.645</x:v>
      </x:c>
      <x:c r="Q23" s="2" t="str">
        <x:v>No paths</x:v>
      </x:c>
      <x:c r="R23" s="2" t="str">
        <x:v>No paths</x:v>
      </x:c>
      <x:c r="S23" s="2" t="str">
        <x:f>IF(COUNT(D23:I23,L23:M23)&lt;8,"Chưa đủ dữ liệu",IF(AND(MIN(D23:I23)&gt;=0,L23=0,M23=0),"PASS theo SDC","Cần xử lý"))</x:f>
        <x:v>Cần xử lý</x:v>
      </x:c>
      <x:c r="T23" s="12" t="str">
        <x:v>D:/ML_KEM_768_1024/09_reports/architecture_tracking/A4_20261024_023929/mlkem_continuous_banked_cycle_opt_v2_de10.sta.rpt</x:v>
      </x:c>
    </x:row>
    <x:row r="24" ht="50" customHeight="1">
      <x:c r="A24" s="2" t="str">
        <x:v>A4_20261024_023929</x:v>
      </x:c>
      <x:c r="B24" s="2" t="str">
        <x:v>Fast 1100mV 85C</x:v>
      </x:c>
      <x:c r="C24" s="11" t="n">
        <x:v>6.25</x:v>
      </x:c>
      <x:c r="D24" s="11" t="n">
        <x:v>1.84</x:v>
      </x:c>
      <x:c r="E24" s="11" t="n">
        <x:v>0</x:v>
      </x:c>
      <x:c r="F24" s="11" t="n">
        <x:v>0.122</x:v>
      </x:c>
      <x:c r="G24" s="11" t="n">
        <x:v>0</x:v>
      </x:c>
      <x:c r="H24" s="11" t="n">
        <x:v>1.562</x:v>
      </x:c>
      <x:c r="I24" s="11" t="n">
        <x:v>0</x:v>
      </x:c>
      <x:c r="J24" s="10"/>
      <x:c r="K24" s="10"/>
      <x:c r="L24" s="2" t="n">
        <x:v>0</x:v>
      </x:c>
      <x:c r="M24" s="2" t="n">
        <x:v>0</x:v>
      </x:c>
      <x:c r="N24" s="2" t="str">
        <x:v>Không tính được</x:v>
      </x:c>
      <x:c r="O24" s="2" t="n">
        <x:v>6</x:v>
      </x:c>
      <x:c r="P24" s="11" t="n">
        <x:v>5.645</x:v>
      </x:c>
      <x:c r="Q24" s="2" t="str">
        <x:v>No paths</x:v>
      </x:c>
      <x:c r="R24" s="2" t="str">
        <x:v>No paths</x:v>
      </x:c>
      <x:c r="S24" s="2" t="str">
        <x:f>IF(COUNT(D24:I24,L24:M24)&lt;8,"Chưa đủ dữ liệu",IF(AND(MIN(D24:I24)&gt;=0,L24=0,M24=0),"PASS theo SDC","Cần xử lý"))</x:f>
        <x:v>PASS theo SDC</x:v>
      </x:c>
      <x:c r="T24" s="12" t="str">
        <x:v>D:/ML_KEM_768_1024/09_reports/architecture_tracking/A4_20261024_023929/mlkem_continuous_banked_cycle_opt_v2_de10.sta.rpt</x:v>
      </x:c>
    </x:row>
    <x:row r="25" ht="50" customHeight="1">
      <x:c r="A25" s="2" t="str">
        <x:v>A4_20261024_023929</x:v>
      </x:c>
      <x:c r="B25" s="2" t="str">
        <x:v>Fast 1100mV 0C</x:v>
      </x:c>
      <x:c r="C25" s="11" t="n">
        <x:v>6.25</x:v>
      </x:c>
      <x:c r="D25" s="11" t="n">
        <x:v>2.352</x:v>
      </x:c>
      <x:c r="E25" s="11" t="n">
        <x:v>0</x:v>
      </x:c>
      <x:c r="F25" s="11" t="n">
        <x:v>0.096</x:v>
      </x:c>
      <x:c r="G25" s="11" t="n">
        <x:v>0</x:v>
      </x:c>
      <x:c r="H25" s="11" t="n">
        <x:v>1.562</x:v>
      </x:c>
      <x:c r="I25" s="11" t="n">
        <x:v>0</x:v>
      </x:c>
      <x:c r="J25" s="10"/>
      <x:c r="K25" s="10"/>
      <x:c r="L25" s="2" t="n">
        <x:v>0</x:v>
      </x:c>
      <x:c r="M25" s="2" t="n">
        <x:v>0</x:v>
      </x:c>
      <x:c r="N25" s="2" t="str">
        <x:v>Không tính được</x:v>
      </x:c>
      <x:c r="O25" s="2" t="n">
        <x:v>6</x:v>
      </x:c>
      <x:c r="P25" s="11" t="n">
        <x:v>5.669</x:v>
      </x:c>
      <x:c r="Q25" s="2" t="str">
        <x:v>No paths</x:v>
      </x:c>
      <x:c r="R25" s="2" t="str">
        <x:v>No paths</x:v>
      </x:c>
      <x:c r="S25" s="2" t="str">
        <x:f>IF(COUNT(D25:I25,L25:M25)&lt;8,"Chưa đủ dữ liệu",IF(AND(MIN(D25:I25)&gt;=0,L25=0,M25=0),"PASS theo SDC","Cần xử lý"))</x:f>
        <x:v>PASS theo SDC</x:v>
      </x:c>
      <x:c r="T25" s="12" t="str">
        <x:v>D:/ML_KEM_768_1024/09_reports/architecture_tracking/A4_20261024_023929/mlkem_continuous_banked_cycle_opt_v2_de10.sta.rpt</x:v>
      </x:c>
    </x:row>
    <x:row r="26" ht="50" customHeight="1">
      <x:c r="A26" s="2" t="str">
        <x:v>A5_20261024_063318</x:v>
      </x:c>
      <x:c r="B26" s="2" t="str">
        <x:v>Slow 1100mV 85C</x:v>
      </x:c>
      <x:c r="C26" s="11" t="n">
        <x:v>6.25</x:v>
      </x:c>
      <x:c r="D26" s="11" t="n">
        <x:v>0.091</x:v>
      </x:c>
      <x:c r="E26" s="11" t="n">
        <x:v>0</x:v>
      </x:c>
      <x:c r="F26" s="11" t="n">
        <x:v>0.253</x:v>
      </x:c>
      <x:c r="G26" s="11" t="n">
        <x:v>0</x:v>
      </x:c>
      <x:c r="H26" s="11" t="n">
        <x:v>1.562</x:v>
      </x:c>
      <x:c r="I26" s="11" t="n">
        <x:v>0</x:v>
      </x:c>
      <x:c r="J26" s="10" t="n">
        <x:v>162.36</x:v>
      </x:c>
      <x:c r="K26" s="10" t="n">
        <x:v>162.36</x:v>
      </x:c>
      <x:c r="L26" s="2" t="n">
        <x:v>0</x:v>
      </x:c>
      <x:c r="M26" s="2" t="n">
        <x:v>0</x:v>
      </x:c>
      <x:c r="N26" s="2" t="str">
        <x:v>Không tính được</x:v>
      </x:c>
      <x:c r="O26" s="2" t="n">
        <x:v>6</x:v>
      </x:c>
      <x:c r="P26" s="11" t="n">
        <x:v>2.442</x:v>
      </x:c>
      <x:c r="Q26" s="2" t="str">
        <x:v>No paths</x:v>
      </x:c>
      <x:c r="R26" s="2" t="str">
        <x:v>No paths</x:v>
      </x:c>
      <x:c r="S26" s="2" t="str">
        <x:f>IF(COUNT(D26:I26,L26:M26)&lt;8,"Chưa đủ dữ liệu",IF(AND(MIN(D26:I26)&gt;=0,L26=0,M26=0),"PASS theo SDC","Cần xử lý"))</x:f>
        <x:v>PASS theo SDC</x:v>
      </x:c>
      <x:c r="T26" s="12" t="str">
        <x:v>D:/ML_KEM_768_1024/09_reports/architecture_tracking/A5_20261024_063318/mlkem_streaming_balanced_4bu_de10.sta.rpt</x:v>
      </x:c>
    </x:row>
    <x:row r="27" ht="50" customHeight="1">
      <x:c r="A27" s="2" t="str">
        <x:v>A5_20261024_063318</x:v>
      </x:c>
      <x:c r="B27" s="2" t="str">
        <x:v>Slow 1100mV 0C</x:v>
      </x:c>
      <x:c r="C27" s="11" t="n">
        <x:v>6.25</x:v>
      </x:c>
      <x:c r="D27" s="11" t="n">
        <x:v>0.235</x:v>
      </x:c>
      <x:c r="E27" s="11" t="n">
        <x:v>0</x:v>
      </x:c>
      <x:c r="F27" s="11" t="n">
        <x:v>0.188</x:v>
      </x:c>
      <x:c r="G27" s="11" t="n">
        <x:v>0</x:v>
      </x:c>
      <x:c r="H27" s="11" t="n">
        <x:v>1.562</x:v>
      </x:c>
      <x:c r="I27" s="11" t="n">
        <x:v>0</x:v>
      </x:c>
      <x:c r="J27" s="10" t="n">
        <x:v>166.25</x:v>
      </x:c>
      <x:c r="K27" s="10" t="n">
        <x:v>166.25</x:v>
      </x:c>
      <x:c r="L27" s="2" t="n">
        <x:v>0</x:v>
      </x:c>
      <x:c r="M27" s="2" t="n">
        <x:v>0</x:v>
      </x:c>
      <x:c r="N27" s="2" t="str">
        <x:v>Không tính được</x:v>
      </x:c>
      <x:c r="O27" s="2" t="n">
        <x:v>6</x:v>
      </x:c>
      <x:c r="P27" s="11" t="n">
        <x:v>2.599</x:v>
      </x:c>
      <x:c r="Q27" s="2" t="str">
        <x:v>No paths</x:v>
      </x:c>
      <x:c r="R27" s="2" t="str">
        <x:v>No paths</x:v>
      </x:c>
      <x:c r="S27" s="2" t="str">
        <x:f>IF(COUNT(D27:I27,L27:M27)&lt;8,"Chưa đủ dữ liệu",IF(AND(MIN(D27:I27)&gt;=0,L27=0,M27=0),"PASS theo SDC","Cần xử lý"))</x:f>
        <x:v>PASS theo SDC</x:v>
      </x:c>
      <x:c r="T27" s="12" t="str">
        <x:v>D:/ML_KEM_768_1024/09_reports/architecture_tracking/A5_20261024_063318/mlkem_streaming_balanced_4bu_de10.sta.rpt</x:v>
      </x:c>
    </x:row>
    <x:row r="28" ht="50" customHeight="1">
      <x:c r="A28" s="2" t="str">
        <x:v>A5_20261024_063318</x:v>
      </x:c>
      <x:c r="B28" s="2" t="str">
        <x:v>Fast 1100mV 85C</x:v>
      </x:c>
      <x:c r="C28" s="11" t="n">
        <x:v>6.25</x:v>
      </x:c>
      <x:c r="D28" s="11" t="n">
        <x:v>2.143</x:v>
      </x:c>
      <x:c r="E28" s="11" t="n">
        <x:v>0</x:v>
      </x:c>
      <x:c r="F28" s="11" t="n">
        <x:v>0.131</x:v>
      </x:c>
      <x:c r="G28" s="11" t="n">
        <x:v>0</x:v>
      </x:c>
      <x:c r="H28" s="11" t="n">
        <x:v>1.562</x:v>
      </x:c>
      <x:c r="I28" s="11" t="n">
        <x:v>0</x:v>
      </x:c>
      <x:c r="J28" s="10"/>
      <x:c r="K28" s="10"/>
      <x:c r="L28" s="2" t="n">
        <x:v>0</x:v>
      </x:c>
      <x:c r="M28" s="2" t="n">
        <x:v>0</x:v>
      </x:c>
      <x:c r="N28" s="2" t="str">
        <x:v>Không tính được</x:v>
      </x:c>
      <x:c r="O28" s="2" t="n">
        <x:v>6</x:v>
      </x:c>
      <x:c r="P28" s="11" t="n">
        <x:v>3.613</x:v>
      </x:c>
      <x:c r="Q28" s="2" t="str">
        <x:v>No paths</x:v>
      </x:c>
      <x:c r="R28" s="2" t="str">
        <x:v>No paths</x:v>
      </x:c>
      <x:c r="S28" s="2" t="str">
        <x:f>IF(COUNT(D28:I28,L28:M28)&lt;8,"Chưa đủ dữ liệu",IF(AND(MIN(D28:I28)&gt;=0,L28=0,M28=0),"PASS theo SDC","Cần xử lý"))</x:f>
        <x:v>PASS theo SDC</x:v>
      </x:c>
      <x:c r="T28" s="12" t="str">
        <x:v>D:/ML_KEM_768_1024/09_reports/architecture_tracking/A5_20261024_063318/mlkem_streaming_balanced_4bu_de10.sta.rpt</x:v>
      </x:c>
    </x:row>
    <x:row r="29" ht="50" customHeight="1">
      <x:c r="A29" s="2" t="str">
        <x:v>A5_20261024_063318</x:v>
      </x:c>
      <x:c r="B29" s="2" t="str">
        <x:v>Fast 1100mV 0C</x:v>
      </x:c>
      <x:c r="C29" s="11" t="n">
        <x:v>6.25</x:v>
      </x:c>
      <x:c r="D29" s="11" t="n">
        <x:v>2.625</x:v>
      </x:c>
      <x:c r="E29" s="11" t="n">
        <x:v>0</x:v>
      </x:c>
      <x:c r="F29" s="11" t="n">
        <x:v>0.116</x:v>
      </x:c>
      <x:c r="G29" s="11" t="n">
        <x:v>0</x:v>
      </x:c>
      <x:c r="H29" s="11" t="n">
        <x:v>1.562</x:v>
      </x:c>
      <x:c r="I29" s="11" t="n">
        <x:v>0</x:v>
      </x:c>
      <x:c r="J29" s="10"/>
      <x:c r="K29" s="10"/>
      <x:c r="L29" s="2" t="n">
        <x:v>0</x:v>
      </x:c>
      <x:c r="M29" s="2" t="n">
        <x:v>0</x:v>
      </x:c>
      <x:c r="N29" s="2" t="str">
        <x:v>Không tính được</x:v>
      </x:c>
      <x:c r="O29" s="2" t="n">
        <x:v>6</x:v>
      </x:c>
      <x:c r="P29" s="11" t="n">
        <x:v>3.91</x:v>
      </x:c>
      <x:c r="Q29" s="2" t="str">
        <x:v>No paths</x:v>
      </x:c>
      <x:c r="R29" s="2" t="str">
        <x:v>No paths</x:v>
      </x:c>
      <x:c r="S29" s="2" t="str">
        <x:f>IF(COUNT(D29:I29,L29:M29)&lt;8,"Chưa đủ dữ liệu",IF(AND(MIN(D29:I29)&gt;=0,L29=0,M29=0),"PASS theo SDC","Cần xử lý"))</x:f>
        <x:v>PASS theo SDC</x:v>
      </x:c>
      <x:c r="T29" s="12" t="str">
        <x:v>D:/ML_KEM_768_1024/09_reports/architecture_tracking/A5_20261024_063318/mlkem_streaming_balanced_4bu_de10.sta.rpt</x:v>
      </x:c>
    </x:row>
    <x:row r="30" ht="52" customHeight="1">
      <x:c r="A30" s="12" t="str">
        <x:v>A1_20261024_075119</x:v>
      </x:c>
      <x:c r="B30" s="12" t="str">
        <x:v>Slow 1100mV 85C</x:v>
      </x:c>
      <x:c r="C30" s="12" t="n">
        <x:v>6.25</x:v>
      </x:c>
      <x:c r="D30" s="18" t="n">
        <x:v>0.075</x:v>
      </x:c>
      <x:c r="E30" s="18" t="n">
        <x:v>0</x:v>
      </x:c>
      <x:c r="F30" s="18" t="n">
        <x:v>0.235</x:v>
      </x:c>
      <x:c r="G30" s="18" t="n">
        <x:v>0</x:v>
      </x:c>
      <x:c r="H30" s="18" t="n">
        <x:v>1.562</x:v>
      </x:c>
      <x:c r="I30" s="18" t="n">
        <x:v>0</x:v>
      </x:c>
      <x:c r="J30" s="18" t="n">
        <x:v>161.94</x:v>
      </x:c>
      <x:c r="K30" s="18" t="n">
        <x:v>161.94</x:v>
      </x:c>
      <x:c r="L30" s="12" t="n">
        <x:v>0</x:v>
      </x:c>
      <x:c r="M30" s="12" t="n">
        <x:v>0</x:v>
      </x:c>
      <x:c r="N30" s="12" t="str">
        <x:v>Không tính được</x:v>
      </x:c>
      <x:c r="O30" s="12" t="n">
        <x:v>6</x:v>
      </x:c>
      <x:c r="P30" s="12" t="n">
        <x:v>5.229</x:v>
      </x:c>
      <x:c r="Q30" s="12" t="str">
        <x:v>No paths</x:v>
      </x:c>
      <x:c r="R30" s="12" t="str">
        <x:v>No paths</x:v>
      </x:c>
      <x:c r="S30" s="12" t="str">
        <x:f>IF(COUNT(D30:I30,L30:M30)&lt;8,"Chưa đủ dữ liệu",IF(AND(MIN(D30:I30)&gt;=0,L30=0,M30=0),"PASS theo SDC","Cần xử lý"))</x:f>
        <x:v>PASS theo SDC</x:v>
      </x:c>
      <x:c r="T30" s="12" t="str">
        <x:v>D:/ML_KEM_768_1024/09_reports/architecture_tracking/A1_20261024_075119/mlkem_channel_de10.sta.rpt</x:v>
      </x:c>
    </x:row>
    <x:row r="31" ht="52" customHeight="1">
      <x:c r="A31" s="12" t="str">
        <x:v>A1_20261024_075119</x:v>
      </x:c>
      <x:c r="B31" s="12" t="str">
        <x:v>Slow 1100mV 0C</x:v>
      </x:c>
      <x:c r="C31" s="12" t="n">
        <x:v>6.25</x:v>
      </x:c>
      <x:c r="D31" s="18" t="n">
        <x:v>0.2</x:v>
      </x:c>
      <x:c r="E31" s="18" t="n">
        <x:v>0</x:v>
      </x:c>
      <x:c r="F31" s="18" t="n">
        <x:v>0.182</x:v>
      </x:c>
      <x:c r="G31" s="18" t="n">
        <x:v>0</x:v>
      </x:c>
      <x:c r="H31" s="18" t="n">
        <x:v>1.562</x:v>
      </x:c>
      <x:c r="I31" s="18" t="n">
        <x:v>0</x:v>
      </x:c>
      <x:c r="J31" s="18" t="n">
        <x:v>165.29</x:v>
      </x:c>
      <x:c r="K31" s="18" t="n">
        <x:v>165.29</x:v>
      </x:c>
      <x:c r="L31" s="12" t="n">
        <x:v>0</x:v>
      </x:c>
      <x:c r="M31" s="12" t="n">
        <x:v>0</x:v>
      </x:c>
      <x:c r="N31" s="12" t="str">
        <x:v>Không tính được</x:v>
      </x:c>
      <x:c r="O31" s="12" t="n">
        <x:v>6</x:v>
      </x:c>
      <x:c r="P31" s="12" t="n">
        <x:v>5.212</x:v>
      </x:c>
      <x:c r="Q31" s="12" t="str">
        <x:v>No paths</x:v>
      </x:c>
      <x:c r="R31" s="12" t="str">
        <x:v>No paths</x:v>
      </x:c>
      <x:c r="S31" s="12" t="str">
        <x:f>IF(COUNT(D31:I31,L31:M31)&lt;8,"Chưa đủ dữ liệu",IF(AND(MIN(D31:I31)&gt;=0,L31=0,M31=0),"PASS theo SDC","Cần xử lý"))</x:f>
        <x:v>PASS theo SDC</x:v>
      </x:c>
      <x:c r="T31" s="12" t="str">
        <x:v>D:/ML_KEM_768_1024/09_reports/architecture_tracking/A1_20261024_075119/mlkem_channel_de10.sta.rpt</x:v>
      </x:c>
    </x:row>
    <x:row r="32" ht="52" customHeight="1">
      <x:c r="A32" s="12" t="str">
        <x:v>A1_20261024_075119</x:v>
      </x:c>
      <x:c r="B32" s="12" t="str">
        <x:v>Fast 1100mV 85C</x:v>
      </x:c>
      <x:c r="C32" s="12" t="n">
        <x:v>6.25</x:v>
      </x:c>
      <x:c r="D32" s="18" t="n">
        <x:v>2.348</x:v>
      </x:c>
      <x:c r="E32" s="18" t="n">
        <x:v>0</x:v>
      </x:c>
      <x:c r="F32" s="18" t="n">
        <x:v>0.162</x:v>
      </x:c>
      <x:c r="G32" s="18" t="n">
        <x:v>0</x:v>
      </x:c>
      <x:c r="H32" s="18" t="n">
        <x:v>1.562</x:v>
      </x:c>
      <x:c r="I32" s="18" t="n">
        <x:v>0</x:v>
      </x:c>
      <x:c r="J32" s="18"/>
      <x:c r="K32" s="18"/>
      <x:c r="L32" s="12" t="n">
        <x:v>0</x:v>
      </x:c>
      <x:c r="M32" s="12" t="n">
        <x:v>0</x:v>
      </x:c>
      <x:c r="N32" s="12" t="str">
        <x:v>Không tính được</x:v>
      </x:c>
      <x:c r="O32" s="12" t="n">
        <x:v>6</x:v>
      </x:c>
      <x:c r="P32" s="12" t="n">
        <x:v>5.647</x:v>
      </x:c>
      <x:c r="Q32" s="12" t="str">
        <x:v>No paths</x:v>
      </x:c>
      <x:c r="R32" s="12" t="str">
        <x:v>No paths</x:v>
      </x:c>
      <x:c r="S32" s="12" t="str">
        <x:f>IF(COUNT(D32:I32,L32:M32)&lt;8,"Chưa đủ dữ liệu",IF(AND(MIN(D32:I32)&gt;=0,L32=0,M32=0),"PASS theo SDC","Cần xử lý"))</x:f>
        <x:v>PASS theo SDC</x:v>
      </x:c>
      <x:c r="T32" s="12" t="str">
        <x:v>D:/ML_KEM_768_1024/09_reports/architecture_tracking/A1_20261024_075119/mlkem_channel_de10.sta.rpt</x:v>
      </x:c>
    </x:row>
    <x:row r="33" ht="52" customHeight="1">
      <x:c r="A33" s="12" t="str">
        <x:v>A1_20261024_075119</x:v>
      </x:c>
      <x:c r="B33" s="12" t="str">
        <x:v>Fast 1100mV 0C</x:v>
      </x:c>
      <x:c r="C33" s="12" t="n">
        <x:v>6.25</x:v>
      </x:c>
      <x:c r="D33" s="18" t="n">
        <x:v>2.691</x:v>
      </x:c>
      <x:c r="E33" s="18" t="n">
        <x:v>0</x:v>
      </x:c>
      <x:c r="F33" s="18" t="n">
        <x:v>0.11</x:v>
      </x:c>
      <x:c r="G33" s="18" t="n">
        <x:v>0</x:v>
      </x:c>
      <x:c r="H33" s="18" t="n">
        <x:v>1.562</x:v>
      </x:c>
      <x:c r="I33" s="18" t="n">
        <x:v>0</x:v>
      </x:c>
      <x:c r="J33" s="18"/>
      <x:c r="K33" s="18"/>
      <x:c r="L33" s="12" t="n">
        <x:v>0</x:v>
      </x:c>
      <x:c r="M33" s="12" t="n">
        <x:v>0</x:v>
      </x:c>
      <x:c r="N33" s="12" t="str">
        <x:v>Không tính được</x:v>
      </x:c>
      <x:c r="O33" s="12" t="n">
        <x:v>6</x:v>
      </x:c>
      <x:c r="P33" s="12" t="n">
        <x:v>5.674</x:v>
      </x:c>
      <x:c r="Q33" s="12" t="str">
        <x:v>No paths</x:v>
      </x:c>
      <x:c r="R33" s="12" t="str">
        <x:v>No paths</x:v>
      </x:c>
      <x:c r="S33" s="12" t="str">
        <x:f>IF(COUNT(D33:I33,L33:M33)&lt;8,"Chưa đủ dữ liệu",IF(AND(MIN(D33:I33)&gt;=0,L33=0,M33=0),"PASS theo SDC","Cần xử lý"))</x:f>
        <x:v>PASS theo SDC</x:v>
      </x:c>
      <x:c r="T33" s="12" t="str">
        <x:v>D:/ML_KEM_768_1024/09_reports/architecture_tracking/A1_20261024_075119/mlkem_channel_de10.sta.rpt</x:v>
      </x:c>
    </x:row>
    <x:row r="34" ht="52" customHeight="1">
      <x:c r="A34" s="12" t="str">
        <x:v>A2_20261024_075531</x:v>
      </x:c>
      <x:c r="B34" s="12" t="str">
        <x:v>Slow 1100mV 85C</x:v>
      </x:c>
      <x:c r="C34" s="12" t="n">
        <x:v>6.25</x:v>
      </x:c>
      <x:c r="D34" s="18" t="n">
        <x:v>-0.17</x:v>
      </x:c>
      <x:c r="E34" s="18" t="n">
        <x:v>-2.423</x:v>
      </x:c>
      <x:c r="F34" s="18" t="n">
        <x:v>0.248</x:v>
      </x:c>
      <x:c r="G34" s="18" t="n">
        <x:v>0</x:v>
      </x:c>
      <x:c r="H34" s="18" t="n">
        <x:v>1.562</x:v>
      </x:c>
      <x:c r="I34" s="18" t="n">
        <x:v>0</x:v>
      </x:c>
      <x:c r="J34" s="18" t="n">
        <x:v>155.76</x:v>
      </x:c>
      <x:c r="K34" s="18" t="n">
        <x:v>155.76</x:v>
      </x:c>
      <x:c r="L34" s="12" t="n">
        <x:v>0</x:v>
      </x:c>
      <x:c r="M34" s="12" t="n">
        <x:v>0</x:v>
      </x:c>
      <x:c r="N34" s="12" t="str">
        <x:v>Không tính được</x:v>
      </x:c>
      <x:c r="O34" s="12" t="n">
        <x:v>6</x:v>
      </x:c>
      <x:c r="P34" s="12" t="n">
        <x:v>4.481</x:v>
      </x:c>
      <x:c r="Q34" s="12" t="str">
        <x:v>No paths</x:v>
      </x:c>
      <x:c r="R34" s="12" t="str">
        <x:v>No paths</x:v>
      </x:c>
      <x:c r="S34" s="12" t="str">
        <x:f>IF(COUNT(D34:I34,L34:M34)&lt;8,"Chưa đủ dữ liệu",IF(AND(MIN(D34:I34)&gt;=0,L34=0,M34=0),"PASS theo SDC","Cần xử lý"))</x:f>
        <x:v>Cần xử lý</x:v>
      </x:c>
      <x:c r="T34" s="12" t="str">
        <x:v>D:/ML_KEM_768_1024/09_reports/architecture_tracking/A2_20261024_075531/mlkem_continuous_banked_de10.sta.rpt</x:v>
      </x:c>
    </x:row>
    <x:row r="35" ht="52" customHeight="1">
      <x:c r="A35" s="12" t="str">
        <x:v>A2_20261024_075531</x:v>
      </x:c>
      <x:c r="B35" s="12" t="str">
        <x:v>Slow 1100mV 0C</x:v>
      </x:c>
      <x:c r="C35" s="12" t="n">
        <x:v>6.25</x:v>
      </x:c>
      <x:c r="D35" s="18" t="n">
        <x:v>-0.173</x:v>
      </x:c>
      <x:c r="E35" s="18" t="n">
        <x:v>-0.173</x:v>
      </x:c>
      <x:c r="F35" s="18" t="n">
        <x:v>0.117</x:v>
      </x:c>
      <x:c r="G35" s="18" t="n">
        <x:v>0</x:v>
      </x:c>
      <x:c r="H35" s="18" t="n">
        <x:v>1.562</x:v>
      </x:c>
      <x:c r="I35" s="18" t="n">
        <x:v>0</x:v>
      </x:c>
      <x:c r="J35" s="18" t="n">
        <x:v>155.69</x:v>
      </x:c>
      <x:c r="K35" s="18" t="n">
        <x:v>155.69</x:v>
      </x:c>
      <x:c r="L35" s="12" t="n">
        <x:v>0</x:v>
      </x:c>
      <x:c r="M35" s="12" t="n">
        <x:v>0</x:v>
      </x:c>
      <x:c r="N35" s="12" t="str">
        <x:v>Không tính được</x:v>
      </x:c>
      <x:c r="O35" s="12" t="n">
        <x:v>6</x:v>
      </x:c>
      <x:c r="P35" s="12" t="n">
        <x:v>4.496</x:v>
      </x:c>
      <x:c r="Q35" s="12" t="str">
        <x:v>No paths</x:v>
      </x:c>
      <x:c r="R35" s="12" t="str">
        <x:v>No paths</x:v>
      </x:c>
      <x:c r="S35" s="12" t="str">
        <x:f>IF(COUNT(D35:I35,L35:M35)&lt;8,"Chưa đủ dữ liệu",IF(AND(MIN(D35:I35)&gt;=0,L35=0,M35=0),"PASS theo SDC","Cần xử lý"))</x:f>
        <x:v>Cần xử lý</x:v>
      </x:c>
      <x:c r="T35" s="12" t="str">
        <x:v>D:/ML_KEM_768_1024/09_reports/architecture_tracking/A2_20261024_075531/mlkem_continuous_banked_de10.sta.rpt</x:v>
      </x:c>
    </x:row>
    <x:row r="36" ht="52" customHeight="1">
      <x:c r="A36" s="12" t="str">
        <x:v>A2_20261024_075531</x:v>
      </x:c>
      <x:c r="B36" s="12" t="str">
        <x:v>Fast 1100mV 85C</x:v>
      </x:c>
      <x:c r="C36" s="12" t="n">
        <x:v>6.25</x:v>
      </x:c>
      <x:c r="D36" s="18" t="n">
        <x:v>2.158</x:v>
      </x:c>
      <x:c r="E36" s="18" t="n">
        <x:v>0</x:v>
      </x:c>
      <x:c r="F36" s="18" t="n">
        <x:v>0.16</x:v>
      </x:c>
      <x:c r="G36" s="18" t="n">
        <x:v>0</x:v>
      </x:c>
      <x:c r="H36" s="18" t="n">
        <x:v>1.562</x:v>
      </x:c>
      <x:c r="I36" s="18" t="n">
        <x:v>0</x:v>
      </x:c>
      <x:c r="J36" s="18"/>
      <x:c r="K36" s="18"/>
      <x:c r="L36" s="12" t="n">
        <x:v>0</x:v>
      </x:c>
      <x:c r="M36" s="12" t="n">
        <x:v>0</x:v>
      </x:c>
      <x:c r="N36" s="12" t="str">
        <x:v>Không tính được</x:v>
      </x:c>
      <x:c r="O36" s="12" t="n">
        <x:v>6</x:v>
      </x:c>
      <x:c r="P36" s="12" t="n">
        <x:v>5.193</x:v>
      </x:c>
      <x:c r="Q36" s="12" t="str">
        <x:v>No paths</x:v>
      </x:c>
      <x:c r="R36" s="12" t="str">
        <x:v>No paths</x:v>
      </x:c>
      <x:c r="S36" s="12" t="str">
        <x:f>IF(COUNT(D36:I36,L36:M36)&lt;8,"Chưa đủ dữ liệu",IF(AND(MIN(D36:I36)&gt;=0,L36=0,M36=0),"PASS theo SDC","Cần xử lý"))</x:f>
        <x:v>PASS theo SDC</x:v>
      </x:c>
      <x:c r="T36" s="12" t="str">
        <x:v>D:/ML_KEM_768_1024/09_reports/architecture_tracking/A2_20261024_075531/mlkem_continuous_banked_de10.sta.rpt</x:v>
      </x:c>
    </x:row>
    <x:row r="37" ht="52" customHeight="1">
      <x:c r="A37" s="12" t="str">
        <x:v>A2_20261024_075531</x:v>
      </x:c>
      <x:c r="B37" s="12" t="str">
        <x:v>Fast 1100mV 0C</x:v>
      </x:c>
      <x:c r="C37" s="12" t="n">
        <x:v>6.25</x:v>
      </x:c>
      <x:c r="D37" s="18" t="n">
        <x:v>2.619</x:v>
      </x:c>
      <x:c r="E37" s="18" t="n">
        <x:v>0</x:v>
      </x:c>
      <x:c r="F37" s="18" t="n">
        <x:v>0.113</x:v>
      </x:c>
      <x:c r="G37" s="18" t="n">
        <x:v>0</x:v>
      </x:c>
      <x:c r="H37" s="18" t="n">
        <x:v>1.562</x:v>
      </x:c>
      <x:c r="I37" s="18" t="n">
        <x:v>0</x:v>
      </x:c>
      <x:c r="J37" s="18"/>
      <x:c r="K37" s="18"/>
      <x:c r="L37" s="12" t="n">
        <x:v>0</x:v>
      </x:c>
      <x:c r="M37" s="12" t="n">
        <x:v>0</x:v>
      </x:c>
      <x:c r="N37" s="12" t="str">
        <x:v>Không tính được</x:v>
      </x:c>
      <x:c r="O37" s="12" t="n">
        <x:v>6</x:v>
      </x:c>
      <x:c r="P37" s="12" t="n">
        <x:v>5.26</x:v>
      </x:c>
      <x:c r="Q37" s="12" t="str">
        <x:v>No paths</x:v>
      </x:c>
      <x:c r="R37" s="12" t="str">
        <x:v>No paths</x:v>
      </x:c>
      <x:c r="S37" s="12" t="str">
        <x:f>IF(COUNT(D37:I37,L37:M37)&lt;8,"Chưa đủ dữ liệu",IF(AND(MIN(D37:I37)&gt;=0,L37=0,M37=0),"PASS theo SDC","Cần xử lý"))</x:f>
        <x:v>PASS theo SDC</x:v>
      </x:c>
      <x:c r="T37" s="12" t="str">
        <x:v>D:/ML_KEM_768_1024/09_reports/architecture_tracking/A2_20261024_075531/mlkem_continuous_banked_de10.sta.rpt</x:v>
      </x:c>
    </x:row>
    <x:row r="38" ht="52" customHeight="1">
      <x:c r="A38" s="12" t="str">
        <x:v>A3_20261024_072633</x:v>
      </x:c>
      <x:c r="B38" s="12" t="str">
        <x:v>Slow 1100mV 85C</x:v>
      </x:c>
      <x:c r="C38" s="12" t="n">
        <x:v>6.25</x:v>
      </x:c>
      <x:c r="D38" s="18" t="n">
        <x:v>-0.508</x:v>
      </x:c>
      <x:c r="E38" s="18" t="n">
        <x:v>-27.235</x:v>
      </x:c>
      <x:c r="F38" s="18" t="n">
        <x:v>0.233</x:v>
      </x:c>
      <x:c r="G38" s="18" t="n">
        <x:v>0</x:v>
      </x:c>
      <x:c r="H38" s="18" t="n">
        <x:v>1.562</x:v>
      </x:c>
      <x:c r="I38" s="18" t="n">
        <x:v>0</x:v>
      </x:c>
      <x:c r="J38" s="18" t="n">
        <x:v>147.97</x:v>
      </x:c>
      <x:c r="K38" s="18" t="n">
        <x:v>147.97</x:v>
      </x:c>
      <x:c r="L38" s="12" t="n">
        <x:v>0</x:v>
      </x:c>
      <x:c r="M38" s="12" t="n">
        <x:v>0</x:v>
      </x:c>
      <x:c r="N38" s="12" t="str">
        <x:v>Không tính được</x:v>
      </x:c>
      <x:c r="O38" s="12" t="n">
        <x:v>7</x:v>
      </x:c>
      <x:c r="P38" s="12" t="n">
        <x:v>5.208</x:v>
      </x:c>
      <x:c r="Q38" s="12" t="str">
        <x:v>No paths</x:v>
      </x:c>
      <x:c r="R38" s="12" t="str">
        <x:v>No paths</x:v>
      </x:c>
      <x:c r="S38" s="12" t="str">
        <x:f>IF(COUNT(D38:I38,L38:M38)&lt;8,"Chưa đủ dữ liệu",IF(AND(MIN(D38:I38)&gt;=0,L38=0,M38=0),"PASS theo SDC","Cần xử lý"))</x:f>
        <x:v>Cần xử lý</x:v>
      </x:c>
      <x:c r="T38" s="12" t="str">
        <x:v>D:/ML_KEM_768_1024/09_reports/architecture_tracking/A3_20261024_072633/mlkem_continuous_banked_cycle_opt_de10.sta.rpt</x:v>
      </x:c>
    </x:row>
    <x:row r="39" ht="52" customHeight="1">
      <x:c r="A39" s="12" t="str">
        <x:v>A3_20261024_072633</x:v>
      </x:c>
      <x:c r="B39" s="12" t="str">
        <x:v>Slow 1100mV 0C</x:v>
      </x:c>
      <x:c r="C39" s="12" t="n">
        <x:v>6.25</x:v>
      </x:c>
      <x:c r="D39" s="18" t="n">
        <x:v>-0.445</x:v>
      </x:c>
      <x:c r="E39" s="18" t="n">
        <x:v>-8.505</x:v>
      </x:c>
      <x:c r="F39" s="18" t="n">
        <x:v>0.172</x:v>
      </x:c>
      <x:c r="G39" s="18" t="n">
        <x:v>0</x:v>
      </x:c>
      <x:c r="H39" s="18" t="n">
        <x:v>1.562</x:v>
      </x:c>
      <x:c r="I39" s="18" t="n">
        <x:v>0</x:v>
      </x:c>
      <x:c r="J39" s="18" t="n">
        <x:v>149.37</x:v>
      </x:c>
      <x:c r="K39" s="18" t="n">
        <x:v>149.37</x:v>
      </x:c>
      <x:c r="L39" s="12" t="n">
        <x:v>0</x:v>
      </x:c>
      <x:c r="M39" s="12" t="n">
        <x:v>0</x:v>
      </x:c>
      <x:c r="N39" s="12" t="str">
        <x:v>Không tính được</x:v>
      </x:c>
      <x:c r="O39" s="12" t="n">
        <x:v>7</x:v>
      </x:c>
      <x:c r="P39" s="12" t="n">
        <x:v>5.208</x:v>
      </x:c>
      <x:c r="Q39" s="12" t="str">
        <x:v>No paths</x:v>
      </x:c>
      <x:c r="R39" s="12" t="str">
        <x:v>No paths</x:v>
      </x:c>
      <x:c r="S39" s="12" t="str">
        <x:f>IF(COUNT(D39:I39,L39:M39)&lt;8,"Chưa đủ dữ liệu",IF(AND(MIN(D39:I39)&gt;=0,L39=0,M39=0),"PASS theo SDC","Cần xử lý"))</x:f>
        <x:v>Cần xử lý</x:v>
      </x:c>
      <x:c r="T39" s="12" t="str">
        <x:v>D:/ML_KEM_768_1024/09_reports/architecture_tracking/A3_20261024_072633/mlkem_continuous_banked_cycle_opt_de10.sta.rpt</x:v>
      </x:c>
    </x:row>
    <x:row r="40" ht="52" customHeight="1">
      <x:c r="A40" s="12" t="str">
        <x:v>A3_20261024_072633</x:v>
      </x:c>
      <x:c r="B40" s="12" t="str">
        <x:v>Fast 1100mV 85C</x:v>
      </x:c>
      <x:c r="C40" s="12" t="n">
        <x:v>6.25</x:v>
      </x:c>
      <x:c r="D40" s="18" t="n">
        <x:v>1.908</x:v>
      </x:c>
      <x:c r="E40" s="18" t="n">
        <x:v>0</x:v>
      </x:c>
      <x:c r="F40" s="18" t="n">
        <x:v>0.162</x:v>
      </x:c>
      <x:c r="G40" s="18" t="n">
        <x:v>0</x:v>
      </x:c>
      <x:c r="H40" s="18" t="n">
        <x:v>1.562</x:v>
      </x:c>
      <x:c r="I40" s="18" t="n">
        <x:v>0</x:v>
      </x:c>
      <x:c r="J40" s="18"/>
      <x:c r="K40" s="18"/>
      <x:c r="L40" s="12" t="n">
        <x:v>0</x:v>
      </x:c>
      <x:c r="M40" s="12" t="n">
        <x:v>0</x:v>
      </x:c>
      <x:c r="N40" s="12" t="str">
        <x:v>Không tính được</x:v>
      </x:c>
      <x:c r="O40" s="12" t="n">
        <x:v>7</x:v>
      </x:c>
      <x:c r="P40" s="12" t="n">
        <x:v>5.625</x:v>
      </x:c>
      <x:c r="Q40" s="12" t="str">
        <x:v>No paths</x:v>
      </x:c>
      <x:c r="R40" s="12" t="str">
        <x:v>No paths</x:v>
      </x:c>
      <x:c r="S40" s="12" t="str">
        <x:f>IF(COUNT(D40:I40,L40:M40)&lt;8,"Chưa đủ dữ liệu",IF(AND(MIN(D40:I40)&gt;=0,L40=0,M40=0),"PASS theo SDC","Cần xử lý"))</x:f>
        <x:v>PASS theo SDC</x:v>
      </x:c>
      <x:c r="T40" s="12" t="str">
        <x:v>D:/ML_KEM_768_1024/09_reports/architecture_tracking/A3_20261024_072633/mlkem_continuous_banked_cycle_opt_de10.sta.rpt</x:v>
      </x:c>
    </x:row>
    <x:row r="41" ht="52" customHeight="1">
      <x:c r="A41" s="12" t="str">
        <x:v>A3_20261024_072633</x:v>
      </x:c>
      <x:c r="B41" s="12" t="str">
        <x:v>Fast 1100mV 0C</x:v>
      </x:c>
      <x:c r="C41" s="12" t="n">
        <x:v>6.25</x:v>
      </x:c>
      <x:c r="D41" s="18" t="n">
        <x:v>2.362</x:v>
      </x:c>
      <x:c r="E41" s="18" t="n">
        <x:v>0</x:v>
      </x:c>
      <x:c r="F41" s="18" t="n">
        <x:v>0.133</x:v>
      </x:c>
      <x:c r="G41" s="18" t="n">
        <x:v>0</x:v>
      </x:c>
      <x:c r="H41" s="18" t="n">
        <x:v>1.562</x:v>
      </x:c>
      <x:c r="I41" s="18" t="n">
        <x:v>0</x:v>
      </x:c>
      <x:c r="J41" s="18"/>
      <x:c r="K41" s="18"/>
      <x:c r="L41" s="12" t="n">
        <x:v>0</x:v>
      </x:c>
      <x:c r="M41" s="12" t="n">
        <x:v>0</x:v>
      </x:c>
      <x:c r="N41" s="12" t="str">
        <x:v>Không tính được</x:v>
      </x:c>
      <x:c r="O41" s="12" t="n">
        <x:v>7</x:v>
      </x:c>
      <x:c r="P41" s="12" t="n">
        <x:v>5.662</x:v>
      </x:c>
      <x:c r="Q41" s="12" t="str">
        <x:v>No paths</x:v>
      </x:c>
      <x:c r="R41" s="12" t="str">
        <x:v>No paths</x:v>
      </x:c>
      <x:c r="S41" s="12" t="str">
        <x:f>IF(COUNT(D41:I41,L41:M41)&lt;8,"Chưa đủ dữ liệu",IF(AND(MIN(D41:I41)&gt;=0,L41=0,M41=0),"PASS theo SDC","Cần xử lý"))</x:f>
        <x:v>PASS theo SDC</x:v>
      </x:c>
      <x:c r="T41" s="12" t="str">
        <x:v>D:/ML_KEM_768_1024/09_reports/architecture_tracking/A3_20261024_072633/mlkem_continuous_banked_cycle_opt_de10.sta.rpt</x:v>
      </x:c>
    </x:row>
    <x:row r="42" ht="52" customHeight="1">
      <x:c r="A42" s="12" t="str">
        <x:v>A4_20261024_074341</x:v>
      </x:c>
      <x:c r="B42" s="12" t="str">
        <x:v>Slow 1100mV 85C</x:v>
      </x:c>
      <x:c r="C42" s="12" t="n">
        <x:v>6.25</x:v>
      </x:c>
      <x:c r="D42" s="18" t="n">
        <x:v>-0.48</x:v>
      </x:c>
      <x:c r="E42" s="18" t="n">
        <x:v>-13.096</x:v>
      </x:c>
      <x:c r="F42" s="18" t="n">
        <x:v>0.238</x:v>
      </x:c>
      <x:c r="G42" s="18" t="n">
        <x:v>0</x:v>
      </x:c>
      <x:c r="H42" s="18" t="n">
        <x:v>1.562</x:v>
      </x:c>
      <x:c r="I42" s="18" t="n">
        <x:v>0</x:v>
      </x:c>
      <x:c r="J42" s="18" t="n">
        <x:v>148.59</x:v>
      </x:c>
      <x:c r="K42" s="18" t="n">
        <x:v>148.59</x:v>
      </x:c>
      <x:c r="L42" s="12" t="n">
        <x:v>0</x:v>
      </x:c>
      <x:c r="M42" s="12" t="n">
        <x:v>0</x:v>
      </x:c>
      <x:c r="N42" s="12" t="str">
        <x:v>Không tính được</x:v>
      </x:c>
      <x:c r="O42" s="12" t="n">
        <x:v>7</x:v>
      </x:c>
      <x:c r="P42" s="12" t="n">
        <x:v>4.915</x:v>
      </x:c>
      <x:c r="Q42" s="12" t="str">
        <x:v>No paths</x:v>
      </x:c>
      <x:c r="R42" s="12" t="str">
        <x:v>No paths</x:v>
      </x:c>
      <x:c r="S42" s="12" t="str">
        <x:f>IF(COUNT(D42:I42,L42:M42)&lt;8,"Chưa đủ dữ liệu",IF(AND(MIN(D42:I42)&gt;=0,L42=0,M42=0),"PASS theo SDC","Cần xử lý"))</x:f>
        <x:v>Cần xử lý</x:v>
      </x:c>
      <x:c r="T42" s="12" t="str">
        <x:v>D:/ML_KEM_768_1024/09_reports/architecture_tracking/A4_20261024_074341/mlkem_continuous_banked_cycle_opt_v2_de10.sta.rpt</x:v>
      </x:c>
    </x:row>
    <x:row r="43" ht="52" customHeight="1">
      <x:c r="A43" s="12" t="str">
        <x:v>A4_20261024_074341</x:v>
      </x:c>
      <x:c r="B43" s="12" t="str">
        <x:v>Slow 1100mV 0C</x:v>
      </x:c>
      <x:c r="C43" s="12" t="n">
        <x:v>6.25</x:v>
      </x:c>
      <x:c r="D43" s="18" t="n">
        <x:v>-0.27</x:v>
      </x:c>
      <x:c r="E43" s="18" t="n">
        <x:v>-0.912</x:v>
      </x:c>
      <x:c r="F43" s="18" t="n">
        <x:v>0.139</x:v>
      </x:c>
      <x:c r="G43" s="18" t="n">
        <x:v>0</x:v>
      </x:c>
      <x:c r="H43" s="18" t="n">
        <x:v>1.562</x:v>
      </x:c>
      <x:c r="I43" s="18" t="n">
        <x:v>0</x:v>
      </x:c>
      <x:c r="J43" s="18" t="n">
        <x:v>153.37</x:v>
      </x:c>
      <x:c r="K43" s="18" t="n">
        <x:v>153.37</x:v>
      </x:c>
      <x:c r="L43" s="12" t="n">
        <x:v>0</x:v>
      </x:c>
      <x:c r="M43" s="12" t="n">
        <x:v>0</x:v>
      </x:c>
      <x:c r="N43" s="12" t="str">
        <x:v>Không tính được</x:v>
      </x:c>
      <x:c r="O43" s="12" t="n">
        <x:v>7</x:v>
      </x:c>
      <x:c r="P43" s="12" t="n">
        <x:v>4.915</x:v>
      </x:c>
      <x:c r="Q43" s="12" t="str">
        <x:v>No paths</x:v>
      </x:c>
      <x:c r="R43" s="12" t="str">
        <x:v>No paths</x:v>
      </x:c>
      <x:c r="S43" s="12" t="str">
        <x:f>IF(COUNT(D43:I43,L43:M43)&lt;8,"Chưa đủ dữ liệu",IF(AND(MIN(D43:I43)&gt;=0,L43=0,M43=0),"PASS theo SDC","Cần xử lý"))</x:f>
        <x:v>Cần xử lý</x:v>
      </x:c>
      <x:c r="T43" s="12" t="str">
        <x:v>D:/ML_KEM_768_1024/09_reports/architecture_tracking/A4_20261024_074341/mlkem_continuous_banked_cycle_opt_v2_de10.sta.rpt</x:v>
      </x:c>
    </x:row>
    <x:row r="44" ht="52" customHeight="1">
      <x:c r="A44" s="12" t="str">
        <x:v>A4_20261024_074341</x:v>
      </x:c>
      <x:c r="B44" s="12" t="str">
        <x:v>Fast 1100mV 85C</x:v>
      </x:c>
      <x:c r="C44" s="12" t="n">
        <x:v>6.25</x:v>
      </x:c>
      <x:c r="D44" s="18" t="n">
        <x:v>1.852</x:v>
      </x:c>
      <x:c r="E44" s="18" t="n">
        <x:v>0</x:v>
      </x:c>
      <x:c r="F44" s="18" t="n">
        <x:v>0.138</x:v>
      </x:c>
      <x:c r="G44" s="18" t="n">
        <x:v>0</x:v>
      </x:c>
      <x:c r="H44" s="18" t="n">
        <x:v>1.562</x:v>
      </x:c>
      <x:c r="I44" s="18" t="n">
        <x:v>0</x:v>
      </x:c>
      <x:c r="J44" s="18"/>
      <x:c r="K44" s="18"/>
      <x:c r="L44" s="12" t="n">
        <x:v>0</x:v>
      </x:c>
      <x:c r="M44" s="12" t="n">
        <x:v>0</x:v>
      </x:c>
      <x:c r="N44" s="12" t="str">
        <x:v>Không tính được</x:v>
      </x:c>
      <x:c r="O44" s="12" t="n">
        <x:v>7</x:v>
      </x:c>
      <x:c r="P44" s="12" t="n">
        <x:v>5.44</x:v>
      </x:c>
      <x:c r="Q44" s="12" t="str">
        <x:v>No paths</x:v>
      </x:c>
      <x:c r="R44" s="12" t="str">
        <x:v>No paths</x:v>
      </x:c>
      <x:c r="S44" s="12" t="str">
        <x:f>IF(COUNT(D44:I44,L44:M44)&lt;8,"Chưa đủ dữ liệu",IF(AND(MIN(D44:I44)&gt;=0,L44=0,M44=0),"PASS theo SDC","Cần xử lý"))</x:f>
        <x:v>PASS theo SDC</x:v>
      </x:c>
      <x:c r="T44" s="12" t="str">
        <x:v>D:/ML_KEM_768_1024/09_reports/architecture_tracking/A4_20261024_074341/mlkem_continuous_banked_cycle_opt_v2_de10.sta.rpt</x:v>
      </x:c>
    </x:row>
    <x:row r="45" ht="52" customHeight="1">
      <x:c r="A45" s="12" t="str">
        <x:v>A4_20261024_074341</x:v>
      </x:c>
      <x:c r="B45" s="12" t="str">
        <x:v>Fast 1100mV 0C</x:v>
      </x:c>
      <x:c r="C45" s="12" t="n">
        <x:v>6.25</x:v>
      </x:c>
      <x:c r="D45" s="18" t="n">
        <x:v>2.389</x:v>
      </x:c>
      <x:c r="E45" s="18" t="n">
        <x:v>0</x:v>
      </x:c>
      <x:c r="F45" s="18" t="n">
        <x:v>0.104</x:v>
      </x:c>
      <x:c r="G45" s="18" t="n">
        <x:v>0</x:v>
      </x:c>
      <x:c r="H45" s="18" t="n">
        <x:v>1.562</x:v>
      </x:c>
      <x:c r="I45" s="18" t="n">
        <x:v>0</x:v>
      </x:c>
      <x:c r="J45" s="18"/>
      <x:c r="K45" s="18"/>
      <x:c r="L45" s="12" t="n">
        <x:v>0</x:v>
      </x:c>
      <x:c r="M45" s="12" t="n">
        <x:v>0</x:v>
      </x:c>
      <x:c r="N45" s="12" t="str">
        <x:v>Không tính được</x:v>
      </x:c>
      <x:c r="O45" s="12" t="n">
        <x:v>7</x:v>
      </x:c>
      <x:c r="P45" s="12" t="n">
        <x:v>5.494</x:v>
      </x:c>
      <x:c r="Q45" s="12" t="str">
        <x:v>No paths</x:v>
      </x:c>
      <x:c r="R45" s="12" t="str">
        <x:v>No paths</x:v>
      </x:c>
      <x:c r="S45" s="12" t="str">
        <x:f>IF(COUNT(D45:I45,L45:M45)&lt;8,"Chưa đủ dữ liệu",IF(AND(MIN(D45:I45)&gt;=0,L45=0,M45=0),"PASS theo SDC","Cần xử lý"))</x:f>
        <x:v>PASS theo SDC</x:v>
      </x:c>
      <x:c r="T45" s="12" t="str">
        <x:v>D:/ML_KEM_768_1024/09_reports/architecture_tracking/A4_20261024_074341/mlkem_continuous_banked_cycle_opt_v2_de10.sta.rpt</x:v>
      </x:c>
    </x:row>
    <x:row r="46" ht="52" customHeight="1">
      <x:c r="A46" s="12" t="str">
        <x:v>A2V2_20261024_092107</x:v>
      </x:c>
      <x:c r="B46" s="12" t="str">
        <x:v>Slow 1100mV 85C</x:v>
      </x:c>
      <x:c r="C46" s="12" t="n">
        <x:v>6.25</x:v>
      </x:c>
      <x:c r="D46" s="18" t="n">
        <x:v>-0.04</x:v>
      </x:c>
      <x:c r="E46" s="18" t="n">
        <x:v>-0.067</x:v>
      </x:c>
      <x:c r="F46" s="18" t="n">
        <x:v>0.282</x:v>
      </x:c>
      <x:c r="G46" s="18" t="n">
        <x:v>0</x:v>
      </x:c>
      <x:c r="H46" s="18" t="n">
        <x:v>1.562</x:v>
      </x:c>
      <x:c r="I46" s="18" t="n">
        <x:v>0</x:v>
      </x:c>
      <x:c r="J46" s="18" t="n">
        <x:v>158.98</x:v>
      </x:c>
      <x:c r="K46" s="18" t="n">
        <x:v>158.98</x:v>
      </x:c>
      <x:c r="L46" s="12" t="n">
        <x:v>0</x:v>
      </x:c>
      <x:c r="M46" s="12" t="n">
        <x:v>0</x:v>
      </x:c>
      <x:c r="N46" s="12" t="str">
        <x:v>Không tính được</x:v>
      </x:c>
      <x:c r="O46" s="12" t="n">
        <x:v>50</x:v>
      </x:c>
      <x:c r="P46" s="12" t="n">
        <x:v>3.064</x:v>
      </x:c>
      <x:c r="Q46" s="12" t="str">
        <x:v>No paths</x:v>
      </x:c>
      <x:c r="R46" s="12" t="str">
        <x:v>No paths</x:v>
      </x:c>
      <x:c r="S46" s="12" t="str">
        <x:f>IF(COUNT(D46:I46,L46:M46)&lt;8,"Chưa đủ dữ liệu",IF(AND(MIN(D46:I46)&gt;=0,L46=0,M46=0),"PASS theo SDC","Cần xử lý"))</x:f>
        <x:v>Cần xử lý</x:v>
      </x:c>
      <x:c r="T46" s="12" t="str">
        <x:v>D:/ML_KEM_768_1024/09_reports/architecture_tracking/A2V2_20261024_092107/mlkem_continuous_banked_de10_ver2.sta.rpt</x:v>
      </x:c>
    </x:row>
    <x:row r="47" ht="52" customHeight="1">
      <x:c r="A47" s="12" t="str">
        <x:v>A2V2_20261024_092107</x:v>
      </x:c>
      <x:c r="B47" s="12" t="str">
        <x:v>Slow 1100mV 0C</x:v>
      </x:c>
      <x:c r="C47" s="12" t="n">
        <x:v>6.25</x:v>
      </x:c>
      <x:c r="D47" s="18" t="n">
        <x:v>0.114</x:v>
      </x:c>
      <x:c r="E47" s="18" t="n">
        <x:v>0</x:v>
      </x:c>
      <x:c r="F47" s="18" t="n">
        <x:v>0.244</x:v>
      </x:c>
      <x:c r="G47" s="18" t="n">
        <x:v>0</x:v>
      </x:c>
      <x:c r="H47" s="18" t="n">
        <x:v>1.562</x:v>
      </x:c>
      <x:c r="I47" s="18" t="n">
        <x:v>0</x:v>
      </x:c>
      <x:c r="J47" s="18" t="n">
        <x:v>162.97</x:v>
      </x:c>
      <x:c r="K47" s="18" t="n">
        <x:v>162.97</x:v>
      </x:c>
      <x:c r="L47" s="12" t="n">
        <x:v>0</x:v>
      </x:c>
      <x:c r="M47" s="12" t="n">
        <x:v>0</x:v>
      </x:c>
      <x:c r="N47" s="12" t="str">
        <x:v>Không tính được</x:v>
      </x:c>
      <x:c r="O47" s="12" t="n">
        <x:v>50</x:v>
      </x:c>
      <x:c r="P47" s="12" t="n">
        <x:v>3.064</x:v>
      </x:c>
      <x:c r="Q47" s="12" t="str">
        <x:v>No paths</x:v>
      </x:c>
      <x:c r="R47" s="12" t="str">
        <x:v>No paths</x:v>
      </x:c>
      <x:c r="S47" s="12" t="str">
        <x:f>IF(COUNT(D47:I47,L47:M47)&lt;8,"Chưa đủ dữ liệu",IF(AND(MIN(D47:I47)&gt;=0,L47=0,M47=0),"PASS theo SDC","Cần xử lý"))</x:f>
        <x:v>PASS theo SDC</x:v>
      </x:c>
      <x:c r="T47" s="12" t="str">
        <x:v>D:/ML_KEM_768_1024/09_reports/architecture_tracking/A2V2_20261024_092107/mlkem_continuous_banked_de10_ver2.sta.rpt</x:v>
      </x:c>
    </x:row>
    <x:row r="48" ht="52" customHeight="1">
      <x:c r="A48" s="12" t="str">
        <x:v>A2V2_20261024_092107</x:v>
      </x:c>
      <x:c r="B48" s="12" t="str">
        <x:v>Fast 1100mV 85C</x:v>
      </x:c>
      <x:c r="C48" s="12" t="n">
        <x:v>6.25</x:v>
      </x:c>
      <x:c r="D48" s="18" t="n">
        <x:v>2.157</x:v>
      </x:c>
      <x:c r="E48" s="18" t="n">
        <x:v>0</x:v>
      </x:c>
      <x:c r="F48" s="18" t="n">
        <x:v>0.168</x:v>
      </x:c>
      <x:c r="G48" s="18" t="n">
        <x:v>0</x:v>
      </x:c>
      <x:c r="H48" s="18" t="n">
        <x:v>1.562</x:v>
      </x:c>
      <x:c r="I48" s="18" t="n">
        <x:v>0</x:v>
      </x:c>
      <x:c r="J48" s="18"/>
      <x:c r="K48" s="18"/>
      <x:c r="L48" s="12" t="n">
        <x:v>0</x:v>
      </x:c>
      <x:c r="M48" s="12" t="n">
        <x:v>0</x:v>
      </x:c>
      <x:c r="N48" s="12" t="str">
        <x:v>Không tính được</x:v>
      </x:c>
      <x:c r="O48" s="12" t="n">
        <x:v>50</x:v>
      </x:c>
      <x:c r="P48" s="12" t="n">
        <x:v>4.046</x:v>
      </x:c>
      <x:c r="Q48" s="12" t="str">
        <x:v>No paths</x:v>
      </x:c>
      <x:c r="R48" s="12" t="str">
        <x:v>No paths</x:v>
      </x:c>
      <x:c r="S48" s="12" t="str">
        <x:f>IF(COUNT(D48:I48,L48:M48)&lt;8,"Chưa đủ dữ liệu",IF(AND(MIN(D48:I48)&gt;=0,L48=0,M48=0),"PASS theo SDC","Cần xử lý"))</x:f>
        <x:v>PASS theo SDC</x:v>
      </x:c>
      <x:c r="T48" s="12" t="str">
        <x:v>D:/ML_KEM_768_1024/09_reports/architecture_tracking/A2V2_20261024_092107/mlkem_continuous_banked_de10_ver2.sta.rpt</x:v>
      </x:c>
    </x:row>
    <x:row r="49" ht="52" customHeight="1">
      <x:c r="A49" s="12" t="str">
        <x:v>A2V2_20261024_092107</x:v>
      </x:c>
      <x:c r="B49" s="12" t="str">
        <x:v>Fast 1100mV 0C</x:v>
      </x:c>
      <x:c r="C49" s="12" t="n">
        <x:v>6.25</x:v>
      </x:c>
      <x:c r="D49" s="18" t="n">
        <x:v>2.666</x:v>
      </x:c>
      <x:c r="E49" s="18" t="n">
        <x:v>0</x:v>
      </x:c>
      <x:c r="F49" s="18" t="n">
        <x:v>0.138</x:v>
      </x:c>
      <x:c r="G49" s="18" t="n">
        <x:v>0</x:v>
      </x:c>
      <x:c r="H49" s="18" t="n">
        <x:v>1.562</x:v>
      </x:c>
      <x:c r="I49" s="18" t="n">
        <x:v>0</x:v>
      </x:c>
      <x:c r="J49" s="18"/>
      <x:c r="K49" s="18"/>
      <x:c r="L49" s="12" t="n">
        <x:v>0</x:v>
      </x:c>
      <x:c r="M49" s="12" t="n">
        <x:v>0</x:v>
      </x:c>
      <x:c r="N49" s="12" t="str">
        <x:v>Không tính được</x:v>
      </x:c>
      <x:c r="O49" s="12" t="n">
        <x:v>50</x:v>
      </x:c>
      <x:c r="P49" s="12" t="n">
        <x:v>4.275</x:v>
      </x:c>
      <x:c r="Q49" s="12" t="str">
        <x:v>No paths</x:v>
      </x:c>
      <x:c r="R49" s="12" t="str">
        <x:v>No paths</x:v>
      </x:c>
      <x:c r="S49" s="12" t="str">
        <x:f>IF(COUNT(D49:I49,L49:M49)&lt;8,"Chưa đủ dữ liệu",IF(AND(MIN(D49:I49)&gt;=0,L49=0,M49=0),"PASS theo SDC","Cần xử lý"))</x:f>
        <x:v>PASS theo SDC</x:v>
      </x:c>
      <x:c r="T49" s="12" t="str">
        <x:v>D:/ML_KEM_768_1024/09_reports/architecture_tracking/A2V2_20261024_092107/mlkem_continuous_banked_de10_ver2.sta.rpt</x:v>
      </x:c>
    </x:row>
    <x:row r="50" ht="52" customHeight="1">
      <x:c r="A50" s="12" t="str">
        <x:v>A2V3_20261024_092039</x:v>
      </x:c>
      <x:c r="B50" s="12" t="str">
        <x:v>Slow 1100mV 85C</x:v>
      </x:c>
      <x:c r="C50" s="12" t="n">
        <x:v>6.25</x:v>
      </x:c>
      <x:c r="D50" s="18" t="n">
        <x:v>-0.177</x:v>
      </x:c>
      <x:c r="E50" s="18" t="n">
        <x:v>-0.895</x:v>
      </x:c>
      <x:c r="F50" s="18" t="n">
        <x:v>0.249</x:v>
      </x:c>
      <x:c r="G50" s="18" t="n">
        <x:v>0</x:v>
      </x:c>
      <x:c r="H50" s="18" t="n">
        <x:v>1.562</x:v>
      </x:c>
      <x:c r="I50" s="18" t="n">
        <x:v>0</x:v>
      </x:c>
      <x:c r="J50" s="18" t="n">
        <x:v>155.59</x:v>
      </x:c>
      <x:c r="K50" s="18" t="n">
        <x:v>155.59</x:v>
      </x:c>
      <x:c r="L50" s="12" t="n">
        <x:v>0</x:v>
      </x:c>
      <x:c r="M50" s="12" t="n">
        <x:v>0</x:v>
      </x:c>
      <x:c r="N50" s="12" t="str">
        <x:v>Không tính được</x:v>
      </x:c>
      <x:c r="O50" s="12" t="n">
        <x:v>56</x:v>
      </x:c>
      <x:c r="P50" s="12" t="n">
        <x:v>3.619</x:v>
      </x:c>
      <x:c r="Q50" s="12" t="str">
        <x:v>No paths</x:v>
      </x:c>
      <x:c r="R50" s="12" t="str">
        <x:v>No paths</x:v>
      </x:c>
      <x:c r="S50" s="12" t="str">
        <x:f>IF(COUNT(D50:I50,L50:M50)&lt;8,"Chưa đủ dữ liệu",IF(AND(MIN(D50:I50)&gt;=0,L50=0,M50=0),"PASS theo SDC","Cần xử lý"))</x:f>
        <x:v>Cần xử lý</x:v>
      </x:c>
      <x:c r="T50" s="12" t="str">
        <x:v>D:/ML_KEM_768_1024/09_reports/architecture_tracking/A2V3_20261024_092039/mlkem_continuous_banked_de10_ver3.sta.rpt</x:v>
      </x:c>
    </x:row>
    <x:row r="51" ht="52" customHeight="1">
      <x:c r="A51" s="12" t="str">
        <x:v>A2V3_20261024_092039</x:v>
      </x:c>
      <x:c r="B51" s="12" t="str">
        <x:v>Slow 1100mV 0C</x:v>
      </x:c>
      <x:c r="C51" s="12" t="n">
        <x:v>6.25</x:v>
      </x:c>
      <x:c r="D51" s="18" t="n">
        <x:v>-0.169</x:v>
      </x:c>
      <x:c r="E51" s="18" t="n">
        <x:v>-0.2</x:v>
      </x:c>
      <x:c r="F51" s="18" t="n">
        <x:v>0.224</x:v>
      </x:c>
      <x:c r="G51" s="18" t="n">
        <x:v>0</x:v>
      </x:c>
      <x:c r="H51" s="18" t="n">
        <x:v>1.562</x:v>
      </x:c>
      <x:c r="I51" s="18" t="n">
        <x:v>0</x:v>
      </x:c>
      <x:c r="J51" s="18" t="n">
        <x:v>155.79</x:v>
      </x:c>
      <x:c r="K51" s="18" t="n">
        <x:v>155.79</x:v>
      </x:c>
      <x:c r="L51" s="12" t="n">
        <x:v>0</x:v>
      </x:c>
      <x:c r="M51" s="12" t="n">
        <x:v>0</x:v>
      </x:c>
      <x:c r="N51" s="12" t="str">
        <x:v>Không tính được</x:v>
      </x:c>
      <x:c r="O51" s="12" t="n">
        <x:v>56</x:v>
      </x:c>
      <x:c r="P51" s="12" t="n">
        <x:v>3.69</x:v>
      </x:c>
      <x:c r="Q51" s="12" t="str">
        <x:v>No paths</x:v>
      </x:c>
      <x:c r="R51" s="12" t="str">
        <x:v>No paths</x:v>
      </x:c>
      <x:c r="S51" s="12" t="str">
        <x:f>IF(COUNT(D51:I51,L51:M51)&lt;8,"Chưa đủ dữ liệu",IF(AND(MIN(D51:I51)&gt;=0,L51=0,M51=0),"PASS theo SDC","Cần xử lý"))</x:f>
        <x:v>Cần xử lý</x:v>
      </x:c>
      <x:c r="T51" s="12" t="str">
        <x:v>D:/ML_KEM_768_1024/09_reports/architecture_tracking/A2V3_20261024_092039/mlkem_continuous_banked_de10_ver3.sta.rpt</x:v>
      </x:c>
    </x:row>
    <x:row r="52" ht="52" customHeight="1">
      <x:c r="A52" s="12" t="str">
        <x:v>A2V3_20261024_092039</x:v>
      </x:c>
      <x:c r="B52" s="12" t="str">
        <x:v>Fast 1100mV 85C</x:v>
      </x:c>
      <x:c r="C52" s="12" t="n">
        <x:v>6.25</x:v>
      </x:c>
      <x:c r="D52" s="18" t="n">
        <x:v>2.09</x:v>
      </x:c>
      <x:c r="E52" s="18" t="n">
        <x:v>0</x:v>
      </x:c>
      <x:c r="F52" s="18" t="n">
        <x:v>0.145</x:v>
      </x:c>
      <x:c r="G52" s="18" t="n">
        <x:v>0</x:v>
      </x:c>
      <x:c r="H52" s="18" t="n">
        <x:v>1.562</x:v>
      </x:c>
      <x:c r="I52" s="18" t="n">
        <x:v>0</x:v>
      </x:c>
      <x:c r="J52" s="18"/>
      <x:c r="K52" s="18"/>
      <x:c r="L52" s="12" t="n">
        <x:v>0</x:v>
      </x:c>
      <x:c r="M52" s="12" t="n">
        <x:v>0</x:v>
      </x:c>
      <x:c r="N52" s="12" t="str">
        <x:v>Không tính được</x:v>
      </x:c>
      <x:c r="O52" s="12" t="n">
        <x:v>56</x:v>
      </x:c>
      <x:c r="P52" s="12" t="n">
        <x:v>4.46</x:v>
      </x:c>
      <x:c r="Q52" s="12" t="str">
        <x:v>No paths</x:v>
      </x:c>
      <x:c r="R52" s="12" t="str">
        <x:v>No paths</x:v>
      </x:c>
      <x:c r="S52" s="12" t="str">
        <x:f>IF(COUNT(D52:I52,L52:M52)&lt;8,"Chưa đủ dữ liệu",IF(AND(MIN(D52:I52)&gt;=0,L52=0,M52=0),"PASS theo SDC","Cần xử lý"))</x:f>
        <x:v>PASS theo SDC</x:v>
      </x:c>
      <x:c r="T52" s="12" t="str">
        <x:v>D:/ML_KEM_768_1024/09_reports/architecture_tracking/A2V3_20261024_092039/mlkem_continuous_banked_de10_ver3.sta.rpt</x:v>
      </x:c>
    </x:row>
    <x:row r="53" ht="52" customHeight="1">
      <x:c r="A53" s="12" t="str">
        <x:v>A2V3_20261024_092039</x:v>
      </x:c>
      <x:c r="B53" s="12" t="str">
        <x:v>Fast 1100mV 0C</x:v>
      </x:c>
      <x:c r="C53" s="12" t="n">
        <x:v>6.25</x:v>
      </x:c>
      <x:c r="D53" s="18" t="n">
        <x:v>2.615</x:v>
      </x:c>
      <x:c r="E53" s="18" t="n">
        <x:v>0</x:v>
      </x:c>
      <x:c r="F53" s="18" t="n">
        <x:v>0.133</x:v>
      </x:c>
      <x:c r="G53" s="18" t="n">
        <x:v>0</x:v>
      </x:c>
      <x:c r="H53" s="18" t="n">
        <x:v>1.562</x:v>
      </x:c>
      <x:c r="I53" s="18" t="n">
        <x:v>0</x:v>
      </x:c>
      <x:c r="J53" s="18"/>
      <x:c r="K53" s="18"/>
      <x:c r="L53" s="12" t="n">
        <x:v>0</x:v>
      </x:c>
      <x:c r="M53" s="12" t="n">
        <x:v>0</x:v>
      </x:c>
      <x:c r="N53" s="12" t="str">
        <x:v>Không tính được</x:v>
      </x:c>
      <x:c r="O53" s="12" t="n">
        <x:v>56</x:v>
      </x:c>
      <x:c r="P53" s="12" t="n">
        <x:v>4.636</x:v>
      </x:c>
      <x:c r="Q53" s="12" t="str">
        <x:v>No paths</x:v>
      </x:c>
      <x:c r="R53" s="12" t="str">
        <x:v>No paths</x:v>
      </x:c>
      <x:c r="S53" s="12" t="str">
        <x:f>IF(COUNT(D53:I53,L53:M53)&lt;8,"Chưa đủ dữ liệu",IF(AND(MIN(D53:I53)&gt;=0,L53=0,M53=0),"PASS theo SDC","Cần xử lý"))</x:f>
        <x:v>PASS theo SDC</x:v>
      </x:c>
      <x:c r="T53" s="12" t="str">
        <x:v>D:/ML_KEM_768_1024/09_reports/architecture_tracking/A2V3_20261024_092039/mlkem_continuous_banked_de10_ver3.sta.rpt</x:v>
      </x:c>
    </x:row>
    <x:row r="54" ht="52" customHeight="1">
      <x:c r="A54" s="12" t="str">
        <x:v>KEYDEMO_20261021_150317</x:v>
      </x:c>
      <x:c r="B54" s="12" t="str">
        <x:v>Slow 1100mV 85C</x:v>
      </x:c>
      <x:c r="C54" s="12" t="n">
        <x:v>6.25</x:v>
      </x:c>
      <x:c r="D54" s="18" t="n">
        <x:v>-0.334</x:v>
      </x:c>
      <x:c r="E54" s="18" t="n">
        <x:v>-6.7</x:v>
      </x:c>
      <x:c r="F54" s="18" t="n">
        <x:v>0.245</x:v>
      </x:c>
      <x:c r="G54" s="18" t="n">
        <x:v>0</x:v>
      </x:c>
      <x:c r="H54" s="18" t="n">
        <x:v>1.562</x:v>
      </x:c>
      <x:c r="I54" s="18" t="n">
        <x:v>0</x:v>
      </x:c>
      <x:c r="J54" s="18" t="n">
        <x:v>151.88</x:v>
      </x:c>
      <x:c r="K54" s="18" t="n">
        <x:v>151.88</x:v>
      </x:c>
      <x:c r="L54" s="12" t="n">
        <x:v>0</x:v>
      </x:c>
      <x:c r="M54" s="12" t="n">
        <x:v>0</x:v>
      </x:c>
      <x:c r="N54" s="12" t="str">
        <x:v>Không tính được</x:v>
      </x:c>
      <x:c r="O54" s="12" t="n">
        <x:v>13</x:v>
      </x:c>
      <x:c r="P54" s="12" t="n">
        <x:v>3.126</x:v>
      </x:c>
      <x:c r="Q54" s="12" t="str">
        <x:v>No paths</x:v>
      </x:c>
      <x:c r="R54" s="12" t="str">
        <x:v>No paths</x:v>
      </x:c>
      <x:c r="S54" s="12" t="str">
        <x:f>IF(COUNT(D54:I54,L54:M54)&lt;8,"Chưa đủ dữ liệu",IF(AND(MIN(D54:I54)&gt;=0,L54=0,M54=0),"PASS theo SDC","Cần xử lý"))</x:f>
        <x:v>Cần xử lý</x:v>
      </x:c>
      <x:c r="T54" s="12" t="str">
        <x:v>D:/ML_KEM_768_1024/09_reports/architecture_tracking/KEYDEMO_20261021_150317/mlkem_streaming_balanced_4bu_keydemo.sta.rpt</x:v>
      </x:c>
    </x:row>
    <x:row r="55" ht="52" customHeight="1">
      <x:c r="A55" s="12" t="str">
        <x:v>KEYDEMO_20261021_150317</x:v>
      </x:c>
      <x:c r="B55" s="12" t="str">
        <x:v>Slow 1100mV 0C</x:v>
      </x:c>
      <x:c r="C55" s="12" t="n">
        <x:v>6.25</x:v>
      </x:c>
      <x:c r="D55" s="18" t="n">
        <x:v>-0.125</x:v>
      </x:c>
      <x:c r="E55" s="18" t="n">
        <x:v>-0.424</x:v>
      </x:c>
      <x:c r="F55" s="18" t="n">
        <x:v>0.149</x:v>
      </x:c>
      <x:c r="G55" s="18" t="n">
        <x:v>0</x:v>
      </x:c>
      <x:c r="H55" s="18" t="n">
        <x:v>1.562</x:v>
      </x:c>
      <x:c r="I55" s="18" t="n">
        <x:v>0</x:v>
      </x:c>
      <x:c r="J55" s="18" t="n">
        <x:v>156.86</x:v>
      </x:c>
      <x:c r="K55" s="18" t="n">
        <x:v>156.86</x:v>
      </x:c>
      <x:c r="L55" s="12" t="n">
        <x:v>0</x:v>
      </x:c>
      <x:c r="M55" s="12" t="n">
        <x:v>0</x:v>
      </x:c>
      <x:c r="N55" s="12" t="str">
        <x:v>Không tính được</x:v>
      </x:c>
      <x:c r="O55" s="12" t="n">
        <x:v>13</x:v>
      </x:c>
      <x:c r="P55" s="12" t="n">
        <x:v>3.126</x:v>
      </x:c>
      <x:c r="Q55" s="12" t="str">
        <x:v>No paths</x:v>
      </x:c>
      <x:c r="R55" s="12" t="str">
        <x:v>No paths</x:v>
      </x:c>
      <x:c r="S55" s="12" t="str">
        <x:f>IF(COUNT(D55:I55,L55:M55)&lt;8,"Chưa đủ dữ liệu",IF(AND(MIN(D55:I55)&gt;=0,L55=0,M55=0),"PASS theo SDC","Cần xử lý"))</x:f>
        <x:v>Cần xử lý</x:v>
      </x:c>
      <x:c r="T55" s="12" t="str">
        <x:v>D:/ML_KEM_768_1024/09_reports/architecture_tracking/KEYDEMO_20261021_150317/mlkem_streaming_balanced_4bu_keydemo.sta.rpt</x:v>
      </x:c>
    </x:row>
    <x:row r="56" ht="52" customHeight="1">
      <x:c r="A56" s="12" t="str">
        <x:v>KEYDEMO_20261021_150317</x:v>
      </x:c>
      <x:c r="B56" s="12" t="str">
        <x:v>Fast 1100mV 85C</x:v>
      </x:c>
      <x:c r="C56" s="12" t="n">
        <x:v>6.25</x:v>
      </x:c>
      <x:c r="D56" s="18" t="n">
        <x:v>2.035</x:v>
      </x:c>
      <x:c r="E56" s="18" t="n">
        <x:v>0</x:v>
      </x:c>
      <x:c r="F56" s="18" t="n">
        <x:v>0.16</x:v>
      </x:c>
      <x:c r="G56" s="18" t="n">
        <x:v>0</x:v>
      </x:c>
      <x:c r="H56" s="18" t="n">
        <x:v>1.562</x:v>
      </x:c>
      <x:c r="I56" s="18" t="n">
        <x:v>0</x:v>
      </x:c>
      <x:c r="J56" s="18"/>
      <x:c r="K56" s="18"/>
      <x:c r="L56" s="12" t="n">
        <x:v>0</x:v>
      </x:c>
      <x:c r="M56" s="12" t="n">
        <x:v>0</x:v>
      </x:c>
      <x:c r="N56" s="12" t="str">
        <x:v>Không tính được</x:v>
      </x:c>
      <x:c r="O56" s="12" t="n">
        <x:v>13</x:v>
      </x:c>
      <x:c r="P56" s="12" t="n">
        <x:v>4.014</x:v>
      </x:c>
      <x:c r="Q56" s="12" t="str">
        <x:v>No paths</x:v>
      </x:c>
      <x:c r="R56" s="12" t="str">
        <x:v>No paths</x:v>
      </x:c>
      <x:c r="S56" s="12" t="str">
        <x:f>IF(COUNT(D56:I56,L56:M56)&lt;8,"Chưa đủ dữ liệu",IF(AND(MIN(D56:I56)&gt;=0,L56=0,M56=0),"PASS theo SDC","Cần xử lý"))</x:f>
        <x:v>PASS theo SDC</x:v>
      </x:c>
      <x:c r="T56" s="12" t="str">
        <x:v>D:/ML_KEM_768_1024/09_reports/architecture_tracking/KEYDEMO_20261021_150317/mlkem_streaming_balanced_4bu_keydemo.sta.rpt</x:v>
      </x:c>
    </x:row>
    <x:row r="57" ht="52" customHeight="1">
      <x:c r="A57" s="12" t="str">
        <x:v>KEYDEMO_20261021_150317</x:v>
      </x:c>
      <x:c r="B57" s="12" t="str">
        <x:v>Fast 1100mV 0C</x:v>
      </x:c>
      <x:c r="C57" s="12" t="n">
        <x:v>6.25</x:v>
      </x:c>
      <x:c r="D57" s="18" t="n">
        <x:v>2.493</x:v>
      </x:c>
      <x:c r="E57" s="18" t="n">
        <x:v>0</x:v>
      </x:c>
      <x:c r="F57" s="18" t="n">
        <x:v>0.138</x:v>
      </x:c>
      <x:c r="G57" s="18" t="n">
        <x:v>0</x:v>
      </x:c>
      <x:c r="H57" s="18" t="n">
        <x:v>1.562</x:v>
      </x:c>
      <x:c r="I57" s="18" t="n">
        <x:v>0</x:v>
      </x:c>
      <x:c r="J57" s="18"/>
      <x:c r="K57" s="18"/>
      <x:c r="L57" s="12" t="n">
        <x:v>0</x:v>
      </x:c>
      <x:c r="M57" s="12" t="n">
        <x:v>0</x:v>
      </x:c>
      <x:c r="N57" s="12" t="str">
        <x:v>Không tính được</x:v>
      </x:c>
      <x:c r="O57" s="12" t="n">
        <x:v>13</x:v>
      </x:c>
      <x:c r="P57" s="12" t="n">
        <x:v>4.272</x:v>
      </x:c>
      <x:c r="Q57" s="12" t="str">
        <x:v>No paths</x:v>
      </x:c>
      <x:c r="R57" s="12" t="str">
        <x:v>No paths</x:v>
      </x:c>
      <x:c r="S57" s="12" t="str">
        <x:f>IF(COUNT(D57:I57,L57:M57)&lt;8,"Chưa đủ dữ liệu",IF(AND(MIN(D57:I57)&gt;=0,L57=0,M57=0),"PASS theo SDC","Cần xử lý"))</x:f>
        <x:v>PASS theo SDC</x:v>
      </x:c>
      <x:c r="T57" s="12" t="str">
        <x:v>D:/ML_KEM_768_1024/09_reports/architecture_tracking/KEYDEMO_20261021_150317/mlkem_streaming_balanced_4bu_keydemo.sta.rpt</x:v>
      </x:c>
    </x:row>
    <x:row r="58" ht="52" customHeight="1">
      <x:c r="A58" s="12" t="str">
        <x:v>A2_20261025_054741</x:v>
      </x:c>
      <x:c r="B58" s="12" t="str">
        <x:v>Slow 1100mV 85C</x:v>
      </x:c>
      <x:c r="C58" s="12" t="n">
        <x:v>6.25</x:v>
      </x:c>
      <x:c r="D58" s="18" t="n">
        <x:v>-0.059</x:v>
      </x:c>
      <x:c r="E58" s="18" t="n">
        <x:v>-0.282</x:v>
      </x:c>
      <x:c r="F58" s="18" t="n">
        <x:v>0.226</x:v>
      </x:c>
      <x:c r="G58" s="18" t="n">
        <x:v>0</x:v>
      </x:c>
      <x:c r="H58" s="18" t="n">
        <x:v>1.562</x:v>
      </x:c>
      <x:c r="I58" s="18" t="n">
        <x:v>0</x:v>
      </x:c>
      <x:c r="J58" s="18" t="n">
        <x:v>158.5</x:v>
      </x:c>
      <x:c r="K58" s="18" t="n">
        <x:v>158.5</x:v>
      </x:c>
      <x:c r="L58" s="12" t="n">
        <x:v>0</x:v>
      </x:c>
      <x:c r="M58" s="12" t="n">
        <x:v>0</x:v>
      </x:c>
      <x:c r="N58" s="12" t="str">
        <x:v>Không tính được</x:v>
      </x:c>
      <x:c r="O58" s="12" t="n">
        <x:v>6</x:v>
      </x:c>
      <x:c r="P58" s="12" t="n">
        <x:v>3.124</x:v>
      </x:c>
      <x:c r="Q58" s="12" t="str">
        <x:v>No paths</x:v>
      </x:c>
      <x:c r="R58" s="12" t="str">
        <x:v>No paths</x:v>
      </x:c>
      <x:c r="S58" s="12" t="str">
        <x:f>IF(COUNT(D58:I58,L58:M58)&lt;8,"Chưa đủ dữ liệu",IF(AND(MIN(D58:I58)&gt;=0,L58=0,M58=0),"PASS theo SDC","Cần xử lý"))</x:f>
        <x:v>Cần xử lý</x:v>
      </x:c>
      <x:c r="T58" s="12" t="str">
        <x:v>D:/ML_KEM_768_1024/09_reports/architecture_tracking/A2_20261025_latest_before_consolidation/mlkem_continuous_banked_de10.sta.rpt</x:v>
      </x:c>
    </x:row>
    <x:row r="59" ht="52" customHeight="1">
      <x:c r="A59" s="12" t="str">
        <x:v>A2_20261025_054741</x:v>
      </x:c>
      <x:c r="B59" s="12" t="str">
        <x:v>Slow 1100mV 0C</x:v>
      </x:c>
      <x:c r="C59" s="12" t="n">
        <x:v>6.25</x:v>
      </x:c>
      <x:c r="D59" s="18" t="n">
        <x:v>0.061</x:v>
      </x:c>
      <x:c r="E59" s="18" t="n">
        <x:v>0</x:v>
      </x:c>
      <x:c r="F59" s="18" t="n">
        <x:v>0.208</x:v>
      </x:c>
      <x:c r="G59" s="18" t="n">
        <x:v>0</x:v>
      </x:c>
      <x:c r="H59" s="18" t="n">
        <x:v>1.562</x:v>
      </x:c>
      <x:c r="I59" s="18" t="n">
        <x:v>0</x:v>
      </x:c>
      <x:c r="J59" s="18" t="n">
        <x:v>161.58</x:v>
      </x:c>
      <x:c r="K59" s="18" t="n">
        <x:v>161.58</x:v>
      </x:c>
      <x:c r="L59" s="12" t="n">
        <x:v>0</x:v>
      </x:c>
      <x:c r="M59" s="12" t="n">
        <x:v>0</x:v>
      </x:c>
      <x:c r="N59" s="12" t="str">
        <x:v>Không tính được</x:v>
      </x:c>
      <x:c r="O59" s="12" t="n">
        <x:v>6</x:v>
      </x:c>
      <x:c r="P59" s="12" t="n">
        <x:v>3.124</x:v>
      </x:c>
      <x:c r="Q59" s="12" t="str">
        <x:v>No paths</x:v>
      </x:c>
      <x:c r="R59" s="12" t="str">
        <x:v>No paths</x:v>
      </x:c>
      <x:c r="S59" s="12" t="str">
        <x:f>IF(COUNT(D59:I59,L59:M59)&lt;8,"Chưa đủ dữ liệu",IF(AND(MIN(D59:I59)&gt;=0,L59=0,M59=0),"PASS theo SDC","Cần xử lý"))</x:f>
        <x:v>PASS theo SDC</x:v>
      </x:c>
      <x:c r="T59" s="12" t="str">
        <x:v>D:/ML_KEM_768_1024/09_reports/architecture_tracking/A2_20261025_latest_before_consolidation/mlkem_continuous_banked_de10.sta.rpt</x:v>
      </x:c>
    </x:row>
    <x:row r="60" ht="52" customHeight="1">
      <x:c r="A60" s="12" t="str">
        <x:v>A2_20261025_054741</x:v>
      </x:c>
      <x:c r="B60" s="12" t="str">
        <x:v>Fast 1100mV 85C</x:v>
      </x:c>
      <x:c r="C60" s="12" t="n">
        <x:v>6.25</x:v>
      </x:c>
      <x:c r="D60" s="18" t="n">
        <x:v>2.158</x:v>
      </x:c>
      <x:c r="E60" s="18" t="n">
        <x:v>0</x:v>
      </x:c>
      <x:c r="F60" s="18" t="n">
        <x:v>0.14</x:v>
      </x:c>
      <x:c r="G60" s="18" t="n">
        <x:v>0</x:v>
      </x:c>
      <x:c r="H60" s="18" t="n">
        <x:v>1.562</x:v>
      </x:c>
      <x:c r="I60" s="18" t="n">
        <x:v>0</x:v>
      </x:c>
      <x:c r="J60" s="18"/>
      <x:c r="K60" s="18"/>
      <x:c r="L60" s="12" t="n">
        <x:v>0</x:v>
      </x:c>
      <x:c r="M60" s="12" t="n">
        <x:v>0</x:v>
      </x:c>
      <x:c r="N60" s="12" t="str">
        <x:v>Không tính được</x:v>
      </x:c>
      <x:c r="O60" s="12" t="n">
        <x:v>6</x:v>
      </x:c>
      <x:c r="P60" s="12" t="n">
        <x:v>3.995</x:v>
      </x:c>
      <x:c r="Q60" s="12" t="str">
        <x:v>No paths</x:v>
      </x:c>
      <x:c r="R60" s="12" t="str">
        <x:v>No paths</x:v>
      </x:c>
      <x:c r="S60" s="12" t="str">
        <x:f>IF(COUNT(D60:I60,L60:M60)&lt;8,"Chưa đủ dữ liệu",IF(AND(MIN(D60:I60)&gt;=0,L60=0,M60=0),"PASS theo SDC","Cần xử lý"))</x:f>
        <x:v>PASS theo SDC</x:v>
      </x:c>
      <x:c r="T60" s="12" t="str">
        <x:v>D:/ML_KEM_768_1024/09_reports/architecture_tracking/A2_20261025_latest_before_consolidation/mlkem_continuous_banked_de10.sta.rpt</x:v>
      </x:c>
    </x:row>
    <x:row r="61" ht="52" customHeight="1">
      <x:c r="A61" s="12" t="str">
        <x:v>A2_20261025_054741</x:v>
      </x:c>
      <x:c r="B61" s="12" t="str">
        <x:v>Fast 1100mV 0C</x:v>
      </x:c>
      <x:c r="C61" s="12" t="n">
        <x:v>6.25</x:v>
      </x:c>
      <x:c r="D61" s="18" t="n">
        <x:v>2.619</x:v>
      </x:c>
      <x:c r="E61" s="18" t="n">
        <x:v>0</x:v>
      </x:c>
      <x:c r="F61" s="18" t="n">
        <x:v>0.13</x:v>
      </x:c>
      <x:c r="G61" s="18" t="n">
        <x:v>0</x:v>
      </x:c>
      <x:c r="H61" s="18" t="n">
        <x:v>1.562</x:v>
      </x:c>
      <x:c r="I61" s="18" t="n">
        <x:v>0</x:v>
      </x:c>
      <x:c r="J61" s="18"/>
      <x:c r="K61" s="18"/>
      <x:c r="L61" s="12" t="n">
        <x:v>0</x:v>
      </x:c>
      <x:c r="M61" s="12" t="n">
        <x:v>0</x:v>
      </x:c>
      <x:c r="N61" s="12" t="str">
        <x:v>Không tính được</x:v>
      </x:c>
      <x:c r="O61" s="12" t="n">
        <x:v>6</x:v>
      </x:c>
      <x:c r="P61" s="12" t="n">
        <x:v>4.241</x:v>
      </x:c>
      <x:c r="Q61" s="12" t="str">
        <x:v>No paths</x:v>
      </x:c>
      <x:c r="R61" s="12" t="str">
        <x:v>No paths</x:v>
      </x:c>
      <x:c r="S61" s="12" t="str">
        <x:f>IF(COUNT(D61:I61,L61:M61)&lt;8,"Chưa đủ dữ liệu",IF(AND(MIN(D61:I61)&gt;=0,L61=0,M61=0),"PASS theo SDC","Cần xử lý"))</x:f>
        <x:v>PASS theo SDC</x:v>
      </x:c>
      <x:c r="T61" s="12" t="str">
        <x:v>D:/ML_KEM_768_1024/09_reports/architecture_tracking/A2_20261025_latest_before_consolidation/mlkem_continuous_banked_de10.sta.rpt</x:v>
      </x:c>
    </x:row>
    <x:row r="62" ht="52" customHeight="1">
      <x:c r="A62" s="12" t="str">
        <x:v>A4_20261025_055016</x:v>
      </x:c>
      <x:c r="B62" s="12" t="str">
        <x:v>Slow 1100mV 85C</x:v>
      </x:c>
      <x:c r="C62" s="12" t="n">
        <x:v>6.25</x:v>
      </x:c>
      <x:c r="D62" s="18" t="n">
        <x:v>0.006</x:v>
      </x:c>
      <x:c r="E62" s="18" t="n">
        <x:v>0</x:v>
      </x:c>
      <x:c r="F62" s="18" t="n">
        <x:v>0.286</x:v>
      </x:c>
      <x:c r="G62" s="18" t="n">
        <x:v>0</x:v>
      </x:c>
      <x:c r="H62" s="18" t="n">
        <x:v>1.562</x:v>
      </x:c>
      <x:c r="I62" s="18" t="n">
        <x:v>0</x:v>
      </x:c>
      <x:c r="J62" s="18" t="n">
        <x:v>160.15</x:v>
      </x:c>
      <x:c r="K62" s="18" t="n">
        <x:v>160.15</x:v>
      </x:c>
      <x:c r="L62" s="12" t="n">
        <x:v>0</x:v>
      </x:c>
      <x:c r="M62" s="12" t="n">
        <x:v>0</x:v>
      </x:c>
      <x:c r="N62" s="12" t="str">
        <x:v>Không tính được</x:v>
      </x:c>
      <x:c r="O62" s="12" t="n">
        <x:v>7</x:v>
      </x:c>
      <x:c r="P62" s="12" t="n">
        <x:v>4.317</x:v>
      </x:c>
      <x:c r="Q62" s="12" t="str">
        <x:v>No paths</x:v>
      </x:c>
      <x:c r="R62" s="12" t="str">
        <x:v>No paths</x:v>
      </x:c>
      <x:c r="S62" s="12" t="str">
        <x:f>IF(COUNT(D62:I62,L62:M62)&lt;8,"Chưa đủ dữ liệu",IF(AND(MIN(D62:I62)&gt;=0,L62=0,M62=0),"PASS theo SDC","Cần xử lý"))</x:f>
        <x:v>PASS theo SDC</x:v>
      </x:c>
      <x:c r="T62" s="12" t="str">
        <x:v>D:/ML_KEM_768_1024/09_reports/architecture_tracking/A4_20261025_latest_before_consolidation/mlkem_continuous_banked_cycle_opt_v2_de10.sta.rpt</x:v>
      </x:c>
    </x:row>
    <x:row r="63" ht="52" customHeight="1">
      <x:c r="A63" s="12" t="str">
        <x:v>A4_20261025_055016</x:v>
      </x:c>
      <x:c r="B63" s="12" t="str">
        <x:v>Slow 1100mV 0C</x:v>
      </x:c>
      <x:c r="C63" s="12" t="n">
        <x:v>6.25</x:v>
      </x:c>
      <x:c r="D63" s="18" t="n">
        <x:v>0.18</x:v>
      </x:c>
      <x:c r="E63" s="18" t="n">
        <x:v>0</x:v>
      </x:c>
      <x:c r="F63" s="18" t="n">
        <x:v>0.213</x:v>
      </x:c>
      <x:c r="G63" s="18" t="n">
        <x:v>0</x:v>
      </x:c>
      <x:c r="H63" s="18" t="n">
        <x:v>1.562</x:v>
      </x:c>
      <x:c r="I63" s="18" t="n">
        <x:v>0</x:v>
      </x:c>
      <x:c r="J63" s="18" t="n">
        <x:v>164.74</x:v>
      </x:c>
      <x:c r="K63" s="18" t="n">
        <x:v>164.74</x:v>
      </x:c>
      <x:c r="L63" s="12" t="n">
        <x:v>0</x:v>
      </x:c>
      <x:c r="M63" s="12" t="n">
        <x:v>0</x:v>
      </x:c>
      <x:c r="N63" s="12" t="str">
        <x:v>Không tính được</x:v>
      </x:c>
      <x:c r="O63" s="12" t="n">
        <x:v>7</x:v>
      </x:c>
      <x:c r="P63" s="12" t="n">
        <x:v>4.361</x:v>
      </x:c>
      <x:c r="Q63" s="12" t="str">
        <x:v>No paths</x:v>
      </x:c>
      <x:c r="R63" s="12" t="str">
        <x:v>No paths</x:v>
      </x:c>
      <x:c r="S63" s="12" t="str">
        <x:f>IF(COUNT(D63:I63,L63:M63)&lt;8,"Chưa đủ dữ liệu",IF(AND(MIN(D63:I63)&gt;=0,L63=0,M63=0),"PASS theo SDC","Cần xử lý"))</x:f>
        <x:v>PASS theo SDC</x:v>
      </x:c>
      <x:c r="T63" s="12" t="str">
        <x:v>D:/ML_KEM_768_1024/09_reports/architecture_tracking/A4_20261025_latest_before_consolidation/mlkem_continuous_banked_cycle_opt_v2_de10.sta.rpt</x:v>
      </x:c>
    </x:row>
    <x:row r="64" ht="52" customHeight="1">
      <x:c r="A64" s="12" t="str">
        <x:v>A4_20261025_055016</x:v>
      </x:c>
      <x:c r="B64" s="12" t="str">
        <x:v>Fast 1100mV 85C</x:v>
      </x:c>
      <x:c r="C64" s="12" t="n">
        <x:v>6.25</x:v>
      </x:c>
      <x:c r="D64" s="18" t="n">
        <x:v>1.907</x:v>
      </x:c>
      <x:c r="E64" s="18" t="n">
        <x:v>0</x:v>
      </x:c>
      <x:c r="F64" s="18" t="n">
        <x:v>0.138</x:v>
      </x:c>
      <x:c r="G64" s="18" t="n">
        <x:v>0</x:v>
      </x:c>
      <x:c r="H64" s="18" t="n">
        <x:v>1.562</x:v>
      </x:c>
      <x:c r="I64" s="18" t="n">
        <x:v>0</x:v>
      </x:c>
      <x:c r="J64" s="18"/>
      <x:c r="K64" s="18"/>
      <x:c r="L64" s="12" t="n">
        <x:v>0</x:v>
      </x:c>
      <x:c r="M64" s="12" t="n">
        <x:v>0</x:v>
      </x:c>
      <x:c r="N64" s="12" t="str">
        <x:v>Không tính được</x:v>
      </x:c>
      <x:c r="O64" s="12" t="n">
        <x:v>7</x:v>
      </x:c>
      <x:c r="P64" s="12" t="n">
        <x:v>4.959</x:v>
      </x:c>
      <x:c r="Q64" s="12" t="str">
        <x:v>No paths</x:v>
      </x:c>
      <x:c r="R64" s="12" t="str">
        <x:v>No paths</x:v>
      </x:c>
      <x:c r="S64" s="12" t="str">
        <x:f>IF(COUNT(D64:I64,L64:M64)&lt;8,"Chưa đủ dữ liệu",IF(AND(MIN(D64:I64)&gt;=0,L64=0,M64=0),"PASS theo SDC","Cần xử lý"))</x:f>
        <x:v>PASS theo SDC</x:v>
      </x:c>
      <x:c r="T64" s="12" t="str">
        <x:v>D:/ML_KEM_768_1024/09_reports/architecture_tracking/A4_20261025_latest_before_consolidation/mlkem_continuous_banked_cycle_opt_v2_de10.sta.rpt</x:v>
      </x:c>
    </x:row>
    <x:row r="65" ht="52" customHeight="1">
      <x:c r="A65" s="12" t="str">
        <x:v>A4_20261025_055016</x:v>
      </x:c>
      <x:c r="B65" s="12" t="str">
        <x:v>Fast 1100mV 0C</x:v>
      </x:c>
      <x:c r="C65" s="12" t="n">
        <x:v>6.25</x:v>
      </x:c>
      <x:c r="D65" s="18" t="n">
        <x:v>2.432</x:v>
      </x:c>
      <x:c r="E65" s="18" t="n">
        <x:v>0</x:v>
      </x:c>
      <x:c r="F65" s="18" t="n">
        <x:v>0.127</x:v>
      </x:c>
      <x:c r="G65" s="18" t="n">
        <x:v>0</x:v>
      </x:c>
      <x:c r="H65" s="18" t="n">
        <x:v>1.562</x:v>
      </x:c>
      <x:c r="I65" s="18" t="n">
        <x:v>0</x:v>
      </x:c>
      <x:c r="J65" s="18"/>
      <x:c r="K65" s="18"/>
      <x:c r="L65" s="12" t="n">
        <x:v>0</x:v>
      </x:c>
      <x:c r="M65" s="12" t="n">
        <x:v>0</x:v>
      </x:c>
      <x:c r="N65" s="12" t="str">
        <x:v>Không tính được</x:v>
      </x:c>
      <x:c r="O65" s="12" t="n">
        <x:v>7</x:v>
      </x:c>
      <x:c r="P65" s="12" t="n">
        <x:v>5.087</x:v>
      </x:c>
      <x:c r="Q65" s="12" t="str">
        <x:v>No paths</x:v>
      </x:c>
      <x:c r="R65" s="12" t="str">
        <x:v>No paths</x:v>
      </x:c>
      <x:c r="S65" s="12" t="str">
        <x:f>IF(COUNT(D65:I65,L65:M65)&lt;8,"Chưa đủ dữ liệu",IF(AND(MIN(D65:I65)&gt;=0,L65=0,M65=0),"PASS theo SDC","Cần xử lý"))</x:f>
        <x:v>PASS theo SDC</x:v>
      </x:c>
      <x:c r="T65" s="12" t="str">
        <x:v>D:/ML_KEM_768_1024/09_reports/architecture_tracking/A4_20261025_latest_before_consolidation/mlkem_continuous_banked_cycle_opt_v2_de10.sta.rpt</x:v>
      </x:c>
    </x:row>
    <x:row r="66" ht="52" customHeight="1">
      <x:c r="A66" s="12" t="str">
        <x:v>SB2_20261025_063232</x:v>
      </x:c>
      <x:c r="B66" s="12" t="str">
        <x:v>Slow 1100mV 85C</x:v>
      </x:c>
      <x:c r="C66" s="12" t="n">
        <x:v>6.25</x:v>
      </x:c>
      <x:c r="D66" s="18" t="n">
        <x:v>-0.194</x:v>
      </x:c>
      <x:c r="E66" s="18" t="n">
        <x:v>-4.761</x:v>
      </x:c>
      <x:c r="F66" s="18" t="n">
        <x:v>0.208</x:v>
      </x:c>
      <x:c r="G66" s="18" t="n">
        <x:v>0</x:v>
      </x:c>
      <x:c r="H66" s="18" t="n">
        <x:v>1.562</x:v>
      </x:c>
      <x:c r="I66" s="18" t="n">
        <x:v>0</x:v>
      </x:c>
      <x:c r="J66" s="18" t="n">
        <x:v>155.18</x:v>
      </x:c>
      <x:c r="K66" s="18" t="n">
        <x:v>155.18</x:v>
      </x:c>
      <x:c r="L66" s="12" t="n">
        <x:v>0</x:v>
      </x:c>
      <x:c r="M66" s="12" t="n">
        <x:v>0</x:v>
      </x:c>
      <x:c r="N66" s="12" t="str">
        <x:v>Không tính được</x:v>
      </x:c>
      <x:c r="O66" s="12" t="n">
        <x:v>6</x:v>
      </x:c>
      <x:c r="P66" s="12" t="n">
        <x:v>4.994</x:v>
      </x:c>
      <x:c r="Q66" s="12" t="str">
        <x:v>No paths</x:v>
      </x:c>
      <x:c r="R66" s="12" t="str">
        <x:v>No paths</x:v>
      </x:c>
      <x:c r="S66" s="12" t="str">
        <x:f>IF(COUNT(D66:I66,L66:M66)&lt;8,"Chưa đủ dữ liệu",IF(AND(MIN(D66:I66)&gt;=0,L66=0,M66=0),"PASS theo SDC","Cần xử lý"))</x:f>
        <x:v>Cần xử lý</x:v>
      </x:c>
      <x:c r="T66" s="12" t="str">
        <x:v>D:/ML_KEM_768_1024/09_reports/architecture_tracking/SB2_20261025_063232/mlkem_streaming_balanced_2bu_de10.sta.rpt</x:v>
      </x:c>
    </x:row>
    <x:row r="67" ht="52" customHeight="1">
      <x:c r="A67" s="12" t="str">
        <x:v>SB2_20261025_063232</x:v>
      </x:c>
      <x:c r="B67" s="12" t="str">
        <x:v>Slow 1100mV 0C</x:v>
      </x:c>
      <x:c r="C67" s="12" t="n">
        <x:v>6.25</x:v>
      </x:c>
      <x:c r="D67" s="18" t="n">
        <x:v>0.073</x:v>
      </x:c>
      <x:c r="E67" s="18" t="n">
        <x:v>0</x:v>
      </x:c>
      <x:c r="F67" s="18" t="n">
        <x:v>0.09</x:v>
      </x:c>
      <x:c r="G67" s="18" t="n">
        <x:v>0</x:v>
      </x:c>
      <x:c r="H67" s="18" t="n">
        <x:v>1.562</x:v>
      </x:c>
      <x:c r="I67" s="18" t="n">
        <x:v>0</x:v>
      </x:c>
      <x:c r="J67" s="18" t="n">
        <x:v>161.89</x:v>
      </x:c>
      <x:c r="K67" s="18" t="n">
        <x:v>161.89</x:v>
      </x:c>
      <x:c r="L67" s="12" t="n">
        <x:v>0</x:v>
      </x:c>
      <x:c r="M67" s="12" t="n">
        <x:v>0</x:v>
      </x:c>
      <x:c r="N67" s="12" t="str">
        <x:v>Không tính được</x:v>
      </x:c>
      <x:c r="O67" s="12" t="n">
        <x:v>6</x:v>
      </x:c>
      <x:c r="P67" s="12" t="n">
        <x:v>4.994</x:v>
      </x:c>
      <x:c r="Q67" s="12" t="str">
        <x:v>No paths</x:v>
      </x:c>
      <x:c r="R67" s="12" t="str">
        <x:v>No paths</x:v>
      </x:c>
      <x:c r="S67" s="12" t="str">
        <x:f>IF(COUNT(D67:I67,L67:M67)&lt;8,"Chưa đủ dữ liệu",IF(AND(MIN(D67:I67)&gt;=0,L67=0,M67=0),"PASS theo SDC","Cần xử lý"))</x:f>
        <x:v>PASS theo SDC</x:v>
      </x:c>
      <x:c r="T67" s="12" t="str">
        <x:v>D:/ML_KEM_768_1024/09_reports/architecture_tracking/SB2_20261025_063232/mlkem_streaming_balanced_2bu_de10.sta.rpt</x:v>
      </x:c>
    </x:row>
    <x:row r="68" ht="52" customHeight="1">
      <x:c r="A68" s="12" t="str">
        <x:v>SB2_20261025_063232</x:v>
      </x:c>
      <x:c r="B68" s="12" t="str">
        <x:v>Fast 1100mV 85C</x:v>
      </x:c>
      <x:c r="C68" s="12" t="n">
        <x:v>6.25</x:v>
      </x:c>
      <x:c r="D68" s="18" t="n">
        <x:v>2.094</x:v>
      </x:c>
      <x:c r="E68" s="18" t="n">
        <x:v>0</x:v>
      </x:c>
      <x:c r="F68" s="18" t="n">
        <x:v>0.129</x:v>
      </x:c>
      <x:c r="G68" s="18" t="n">
        <x:v>0</x:v>
      </x:c>
      <x:c r="H68" s="18" t="n">
        <x:v>1.562</x:v>
      </x:c>
      <x:c r="I68" s="18" t="n">
        <x:v>0</x:v>
      </x:c>
      <x:c r="J68" s="18"/>
      <x:c r="K68" s="18"/>
      <x:c r="L68" s="12" t="n">
        <x:v>0</x:v>
      </x:c>
      <x:c r="M68" s="12" t="n">
        <x:v>0</x:v>
      </x:c>
      <x:c r="N68" s="12" t="str">
        <x:v>Không tính được</x:v>
      </x:c>
      <x:c r="O68" s="12" t="n">
        <x:v>6</x:v>
      </x:c>
      <x:c r="P68" s="12" t="n">
        <x:v>5.632</x:v>
      </x:c>
      <x:c r="Q68" s="12" t="str">
        <x:v>No paths</x:v>
      </x:c>
      <x:c r="R68" s="12" t="str">
        <x:v>No paths</x:v>
      </x:c>
      <x:c r="S68" s="12" t="str">
        <x:f>IF(COUNT(D68:I68,L68:M68)&lt;8,"Chưa đủ dữ liệu",IF(AND(MIN(D68:I68)&gt;=0,L68=0,M68=0),"PASS theo SDC","Cần xử lý"))</x:f>
        <x:v>PASS theo SDC</x:v>
      </x:c>
      <x:c r="T68" s="12" t="str">
        <x:v>D:/ML_KEM_768_1024/09_reports/architecture_tracking/SB2_20261025_063232/mlkem_streaming_balanced_2bu_de10.sta.rpt</x:v>
      </x:c>
    </x:row>
    <x:row r="69" ht="52" customHeight="1">
      <x:c r="A69" s="12" t="str">
        <x:v>SB2_20261025_063232</x:v>
      </x:c>
      <x:c r="B69" s="12" t="str">
        <x:v>Fast 1100mV 0C</x:v>
      </x:c>
      <x:c r="C69" s="12" t="n">
        <x:v>6.25</x:v>
      </x:c>
      <x:c r="D69" s="18" t="n">
        <x:v>2.604</x:v>
      </x:c>
      <x:c r="E69" s="18" t="n">
        <x:v>0</x:v>
      </x:c>
      <x:c r="F69" s="18" t="n">
        <x:v>0.063</x:v>
      </x:c>
      <x:c r="G69" s="18" t="n">
        <x:v>0</x:v>
      </x:c>
      <x:c r="H69" s="18" t="n">
        <x:v>1.562</x:v>
      </x:c>
      <x:c r="I69" s="18" t="n">
        <x:v>0</x:v>
      </x:c>
      <x:c r="J69" s="18"/>
      <x:c r="K69" s="18"/>
      <x:c r="L69" s="12" t="n">
        <x:v>0</x:v>
      </x:c>
      <x:c r="M69" s="12" t="n">
        <x:v>0</x:v>
      </x:c>
      <x:c r="N69" s="12" t="str">
        <x:v>Không tính được</x:v>
      </x:c>
      <x:c r="O69" s="12" t="n">
        <x:v>6</x:v>
      </x:c>
      <x:c r="P69" s="12" t="n">
        <x:v>5.654</x:v>
      </x:c>
      <x:c r="Q69" s="12" t="str">
        <x:v>No paths</x:v>
      </x:c>
      <x:c r="R69" s="12" t="str">
        <x:v>No paths</x:v>
      </x:c>
      <x:c r="S69" s="12" t="str">
        <x:f>IF(COUNT(D69:I69,L69:M69)&lt;8,"Chưa đủ dữ liệu",IF(AND(MIN(D69:I69)&gt;=0,L69=0,M69=0),"PASS theo SDC","Cần xử lý"))</x:f>
        <x:v>PASS theo SDC</x:v>
      </x:c>
      <x:c r="T69" s="12" t="str">
        <x:v>D:/ML_KEM_768_1024/09_reports/architecture_tracking/SB2_20261025_063232/mlkem_streaming_balanced_2bu_de10.sta.rpt</x:v>
      </x:c>
    </x:row>
    <x:row r="70" ht="52" customHeight="1">
      <x:c r="A70" s="12" t="str">
        <x:v>SB8_20261025_063630</x:v>
      </x:c>
      <x:c r="B70" s="12" t="str">
        <x:v>Slow 1100mV 85C</x:v>
      </x:c>
      <x:c r="C70" s="12" t="n">
        <x:v>6.25</x:v>
      </x:c>
      <x:c r="D70" s="18" t="n">
        <x:v>-0.512</x:v>
      </x:c>
      <x:c r="E70" s="18" t="n">
        <x:v>-7.037</x:v>
      </x:c>
      <x:c r="F70" s="18" t="n">
        <x:v>0.244</x:v>
      </x:c>
      <x:c r="G70" s="18" t="n">
        <x:v>0</x:v>
      </x:c>
      <x:c r="H70" s="18" t="n">
        <x:v>1.562</x:v>
      </x:c>
      <x:c r="I70" s="18" t="n">
        <x:v>0</x:v>
      </x:c>
      <x:c r="J70" s="18" t="n">
        <x:v>147.89</x:v>
      </x:c>
      <x:c r="K70" s="18" t="n">
        <x:v>147.89</x:v>
      </x:c>
      <x:c r="L70" s="12" t="n">
        <x:v>0</x:v>
      </x:c>
      <x:c r="M70" s="12" t="n">
        <x:v>0</x:v>
      </x:c>
      <x:c r="N70" s="12" t="str">
        <x:v>Không tính được</x:v>
      </x:c>
      <x:c r="O70" s="12" t="n">
        <x:v>6</x:v>
      </x:c>
      <x:c r="P70" s="12" t="n">
        <x:v>5.095</x:v>
      </x:c>
      <x:c r="Q70" s="12" t="str">
        <x:v>No paths</x:v>
      </x:c>
      <x:c r="R70" s="12" t="str">
        <x:v>No paths</x:v>
      </x:c>
      <x:c r="S70" s="12" t="str">
        <x:f>IF(COUNT(D70:I70,L70:M70)&lt;8,"Chưa đủ dữ liệu",IF(AND(MIN(D70:I70)&gt;=0,L70=0,M70=0),"PASS theo SDC","Cần xử lý"))</x:f>
        <x:v>Cần xử lý</x:v>
      </x:c>
      <x:c r="T70" s="12" t="str">
        <x:v>D:/ML_KEM_768_1024/09_reports/architecture_tracking/SB8_20261025_063630/mlkem_streaming_balanced_8bu_de10.sta.rpt</x:v>
      </x:c>
    </x:row>
    <x:row r="71" ht="52" customHeight="1">
      <x:c r="A71" s="12" t="str">
        <x:v>SB8_20261025_063630</x:v>
      </x:c>
      <x:c r="B71" s="12" t="str">
        <x:v>Slow 1100mV 0C</x:v>
      </x:c>
      <x:c r="C71" s="12" t="n">
        <x:v>6.25</x:v>
      </x:c>
      <x:c r="D71" s="18" t="n">
        <x:v>-0.498</x:v>
      </x:c>
      <x:c r="E71" s="18" t="n">
        <x:v>-2.656</x:v>
      </x:c>
      <x:c r="F71" s="18" t="n">
        <x:v>0.106</x:v>
      </x:c>
      <x:c r="G71" s="18" t="n">
        <x:v>0</x:v>
      </x:c>
      <x:c r="H71" s="18" t="n">
        <x:v>1.562</x:v>
      </x:c>
      <x:c r="I71" s="18" t="n">
        <x:v>0</x:v>
      </x:c>
      <x:c r="J71" s="18" t="n">
        <x:v>148.19</x:v>
      </x:c>
      <x:c r="K71" s="18" t="n">
        <x:v>148.19</x:v>
      </x:c>
      <x:c r="L71" s="12" t="n">
        <x:v>0</x:v>
      </x:c>
      <x:c r="M71" s="12" t="n">
        <x:v>0</x:v>
      </x:c>
      <x:c r="N71" s="12" t="str">
        <x:v>Không tính được</x:v>
      </x:c>
      <x:c r="O71" s="12" t="n">
        <x:v>6</x:v>
      </x:c>
      <x:c r="P71" s="12" t="n">
        <x:v>5.095</x:v>
      </x:c>
      <x:c r="Q71" s="12" t="str">
        <x:v>No paths</x:v>
      </x:c>
      <x:c r="R71" s="12" t="str">
        <x:v>No paths</x:v>
      </x:c>
      <x:c r="S71" s="12" t="str">
        <x:f>IF(COUNT(D71:I71,L71:M71)&lt;8,"Chưa đủ dữ liệu",IF(AND(MIN(D71:I71)&gt;=0,L71=0,M71=0),"PASS theo SDC","Cần xử lý"))</x:f>
        <x:v>Cần xử lý</x:v>
      </x:c>
      <x:c r="T71" s="12" t="str">
        <x:v>D:/ML_KEM_768_1024/09_reports/architecture_tracking/SB8_20261025_063630/mlkem_streaming_balanced_8bu_de10.sta.rpt</x:v>
      </x:c>
    </x:row>
    <x:row r="72" ht="52" customHeight="1">
      <x:c r="A72" s="12" t="str">
        <x:v>SB8_20261025_063630</x:v>
      </x:c>
      <x:c r="B72" s="12" t="str">
        <x:v>Fast 1100mV 85C</x:v>
      </x:c>
      <x:c r="C72" s="12" t="n">
        <x:v>6.25</x:v>
      </x:c>
      <x:c r="D72" s="18" t="n">
        <x:v>2.02</x:v>
      </x:c>
      <x:c r="E72" s="18" t="n">
        <x:v>0</x:v>
      </x:c>
      <x:c r="F72" s="18" t="n">
        <x:v>0.157</x:v>
      </x:c>
      <x:c r="G72" s="18" t="n">
        <x:v>0</x:v>
      </x:c>
      <x:c r="H72" s="18" t="n">
        <x:v>1.562</x:v>
      </x:c>
      <x:c r="I72" s="18" t="n">
        <x:v>0</x:v>
      </x:c>
      <x:c r="J72" s="18"/>
      <x:c r="K72" s="18"/>
      <x:c r="L72" s="12" t="n">
        <x:v>0</x:v>
      </x:c>
      <x:c r="M72" s="12" t="n">
        <x:v>0</x:v>
      </x:c>
      <x:c r="N72" s="12" t="str">
        <x:v>Không tính được</x:v>
      </x:c>
      <x:c r="O72" s="12" t="n">
        <x:v>6</x:v>
      </x:c>
      <x:c r="P72" s="12" t="n">
        <x:v>5.641</x:v>
      </x:c>
      <x:c r="Q72" s="12" t="str">
        <x:v>No paths</x:v>
      </x:c>
      <x:c r="R72" s="12" t="str">
        <x:v>No paths</x:v>
      </x:c>
      <x:c r="S72" s="12" t="str">
        <x:f>IF(COUNT(D72:I72,L72:M72)&lt;8,"Chưa đủ dữ liệu",IF(AND(MIN(D72:I72)&gt;=0,L72=0,M72=0),"PASS theo SDC","Cần xử lý"))</x:f>
        <x:v>PASS theo SDC</x:v>
      </x:c>
      <x:c r="T72" s="12" t="str">
        <x:v>D:/ML_KEM_768_1024/09_reports/architecture_tracking/SB8_20261025_063630/mlkem_streaming_balanced_8bu_de10.sta.rpt</x:v>
      </x:c>
    </x:row>
    <x:row r="73" ht="52" customHeight="1">
      <x:c r="A73" s="12" t="str">
        <x:v>SB8_20261025_063630</x:v>
      </x:c>
      <x:c r="B73" s="12" t="str">
        <x:v>Fast 1100mV 0C</x:v>
      </x:c>
      <x:c r="C73" s="12" t="n">
        <x:v>6.25</x:v>
      </x:c>
      <x:c r="D73" s="18" t="n">
        <x:v>2.525</x:v>
      </x:c>
      <x:c r="E73" s="18" t="n">
        <x:v>0</x:v>
      </x:c>
      <x:c r="F73" s="18" t="n">
        <x:v>0.102</x:v>
      </x:c>
      <x:c r="G73" s="18" t="n">
        <x:v>0</x:v>
      </x:c>
      <x:c r="H73" s="18" t="n">
        <x:v>1.562</x:v>
      </x:c>
      <x:c r="I73" s="18" t="n">
        <x:v>0</x:v>
      </x:c>
      <x:c r="J73" s="18"/>
      <x:c r="K73" s="18"/>
      <x:c r="L73" s="12" t="n">
        <x:v>0</x:v>
      </x:c>
      <x:c r="M73" s="12" t="n">
        <x:v>0</x:v>
      </x:c>
      <x:c r="N73" s="12" t="str">
        <x:v>Không tính được</x:v>
      </x:c>
      <x:c r="O73" s="12" t="n">
        <x:v>6</x:v>
      </x:c>
      <x:c r="P73" s="12" t="n">
        <x:v>5.663</x:v>
      </x:c>
      <x:c r="Q73" s="12" t="str">
        <x:v>No paths</x:v>
      </x:c>
      <x:c r="R73" s="12" t="str">
        <x:v>No paths</x:v>
      </x:c>
      <x:c r="S73" s="12" t="str">
        <x:f>IF(COUNT(D73:I73,L73:M73)&lt;8,"Chưa đủ dữ liệu",IF(AND(MIN(D73:I73)&gt;=0,L73=0,M73=0),"PASS theo SDC","Cần xử lý"))</x:f>
        <x:v>PASS theo SDC</x:v>
      </x:c>
      <x:c r="T73" s="12" t="str">
        <x:v>D:/ML_KEM_768_1024/09_reports/architecture_tracking/SB8_20261025_063630/mlkem_streaming_balanced_8bu_de10.sta.rpt</x:v>
      </x:c>
    </x:row>
    <x:row r="74" ht="52" customHeight="1">
      <x:c r="A74" s="12" t="str">
        <x:v>A2_20261025_070821</x:v>
      </x:c>
      <x:c r="B74" s="12" t="str">
        <x:v>Slow 1100mV 85C</x:v>
      </x:c>
      <x:c r="C74" s="12" t="n">
        <x:v>6.25</x:v>
      </x:c>
      <x:c r="D74" s="18" t="n">
        <x:v>-0.081</x:v>
      </x:c>
      <x:c r="E74" s="18" t="n">
        <x:v>-0.322</x:v>
      </x:c>
      <x:c r="F74" s="18" t="n">
        <x:v>0.257</x:v>
      </x:c>
      <x:c r="G74" s="18" t="n">
        <x:v>0</x:v>
      </x:c>
      <x:c r="H74" s="18" t="n">
        <x:v>1.562</x:v>
      </x:c>
      <x:c r="I74" s="18" t="n">
        <x:v>0</x:v>
      </x:c>
      <x:c r="J74" s="18" t="n">
        <x:v>157.95</x:v>
      </x:c>
      <x:c r="K74" s="18" t="n">
        <x:v>157.95</x:v>
      </x:c>
      <x:c r="L74" s="12" t="n">
        <x:v>0</x:v>
      </x:c>
      <x:c r="M74" s="12" t="n">
        <x:v>0</x:v>
      </x:c>
      <x:c r="N74" s="12" t="str">
        <x:v>Không tính được</x:v>
      </x:c>
      <x:c r="O74" s="12" t="n">
        <x:v>6</x:v>
      </x:c>
      <x:c r="P74" s="12" t="n">
        <x:v>2.792</x:v>
      </x:c>
      <x:c r="Q74" s="12" t="str">
        <x:v>No paths</x:v>
      </x:c>
      <x:c r="R74" s="12" t="str">
        <x:v>No paths</x:v>
      </x:c>
      <x:c r="S74" s="12" t="str">
        <x:f>IF(COUNT(D74:I74,L74:M74)&lt;8,"Chưa đủ dữ liệu",IF(AND(MIN(D74:I74)&gt;=0,L74=0,M74=0),"PASS theo SDC","Cần xử lý"))</x:f>
        <x:v>Cần xử lý</x:v>
      </x:c>
      <x:c r="T74" s="12" t="str">
        <x:v>D:/ML_KEM_768_1024/09_reports/architecture_tracking/A2_20261025_070821/mlkem_continuous_banked_de10.sta.rpt</x:v>
      </x:c>
    </x:row>
    <x:row r="75" ht="52" customHeight="1">
      <x:c r="A75" s="12" t="str">
        <x:v>A2_20261025_070821</x:v>
      </x:c>
      <x:c r="B75" s="12" t="str">
        <x:v>Slow 1100mV 0C</x:v>
      </x:c>
      <x:c r="C75" s="12" t="n">
        <x:v>6.25</x:v>
      </x:c>
      <x:c r="D75" s="18" t="n">
        <x:v>0.047</x:v>
      </x:c>
      <x:c r="E75" s="18" t="n">
        <x:v>0</x:v>
      </x:c>
      <x:c r="F75" s="18" t="n">
        <x:v>0.186</x:v>
      </x:c>
      <x:c r="G75" s="18" t="n">
        <x:v>0</x:v>
      </x:c>
      <x:c r="H75" s="18" t="n">
        <x:v>1.562</x:v>
      </x:c>
      <x:c r="I75" s="18" t="n">
        <x:v>0</x:v>
      </x:c>
      <x:c r="J75" s="18" t="n">
        <x:v>161.21</x:v>
      </x:c>
      <x:c r="K75" s="18" t="n">
        <x:v>161.21</x:v>
      </x:c>
      <x:c r="L75" s="12" t="n">
        <x:v>0</x:v>
      </x:c>
      <x:c r="M75" s="12" t="n">
        <x:v>0</x:v>
      </x:c>
      <x:c r="N75" s="12" t="str">
        <x:v>Không tính được</x:v>
      </x:c>
      <x:c r="O75" s="12" t="n">
        <x:v>6</x:v>
      </x:c>
      <x:c r="P75" s="12" t="n">
        <x:v>2.792</x:v>
      </x:c>
      <x:c r="Q75" s="12" t="str">
        <x:v>No paths</x:v>
      </x:c>
      <x:c r="R75" s="12" t="str">
        <x:v>No paths</x:v>
      </x:c>
      <x:c r="S75" s="12" t="str">
        <x:f>IF(COUNT(D75:I75,L75:M75)&lt;8,"Chưa đủ dữ liệu",IF(AND(MIN(D75:I75)&gt;=0,L75=0,M75=0),"PASS theo SDC","Cần xử lý"))</x:f>
        <x:v>PASS theo SDC</x:v>
      </x:c>
      <x:c r="T75" s="12" t="str">
        <x:v>D:/ML_KEM_768_1024/09_reports/architecture_tracking/A2_20261025_070821/mlkem_continuous_banked_de10.sta.rpt</x:v>
      </x:c>
    </x:row>
    <x:row r="76" ht="52" customHeight="1">
      <x:c r="A76" s="12" t="str">
        <x:v>A2_20261025_070821</x:v>
      </x:c>
      <x:c r="B76" s="12" t="str">
        <x:v>Fast 1100mV 85C</x:v>
      </x:c>
      <x:c r="C76" s="12" t="n">
        <x:v>6.25</x:v>
      </x:c>
      <x:c r="D76" s="18" t="n">
        <x:v>1.923</x:v>
      </x:c>
      <x:c r="E76" s="18" t="n">
        <x:v>0</x:v>
      </x:c>
      <x:c r="F76" s="18" t="n">
        <x:v>0.165</x:v>
      </x:c>
      <x:c r="G76" s="18" t="n">
        <x:v>0</x:v>
      </x:c>
      <x:c r="H76" s="18" t="n">
        <x:v>1.562</x:v>
      </x:c>
      <x:c r="I76" s="18" t="n">
        <x:v>0</x:v>
      </x:c>
      <x:c r="J76" s="18"/>
      <x:c r="K76" s="18"/>
      <x:c r="L76" s="12" t="n">
        <x:v>0</x:v>
      </x:c>
      <x:c r="M76" s="12" t="n">
        <x:v>0</x:v>
      </x:c>
      <x:c r="N76" s="12" t="str">
        <x:v>Không tính được</x:v>
      </x:c>
      <x:c r="O76" s="12" t="n">
        <x:v>6</x:v>
      </x:c>
      <x:c r="P76" s="12" t="n">
        <x:v>3.884</x:v>
      </x:c>
      <x:c r="Q76" s="12" t="str">
        <x:v>No paths</x:v>
      </x:c>
      <x:c r="R76" s="12" t="str">
        <x:v>No paths</x:v>
      </x:c>
      <x:c r="S76" s="12" t="str">
        <x:f>IF(COUNT(D76:I76,L76:M76)&lt;8,"Chưa đủ dữ liệu",IF(AND(MIN(D76:I76)&gt;=0,L76=0,M76=0),"PASS theo SDC","Cần xử lý"))</x:f>
        <x:v>PASS theo SDC</x:v>
      </x:c>
      <x:c r="T76" s="12" t="str">
        <x:v>D:/ML_KEM_768_1024/09_reports/architecture_tracking/A2_20261025_070821/mlkem_continuous_banked_de10.sta.rpt</x:v>
      </x:c>
    </x:row>
    <x:row r="77" ht="52" customHeight="1">
      <x:c r="A77" s="12" t="str">
        <x:v>A2_20261025_070821</x:v>
      </x:c>
      <x:c r="B77" s="12" t="str">
        <x:v>Fast 1100mV 0C</x:v>
      </x:c>
      <x:c r="C77" s="12" t="n">
        <x:v>6.25</x:v>
      </x:c>
      <x:c r="D77" s="18" t="n">
        <x:v>2.468</x:v>
      </x:c>
      <x:c r="E77" s="18" t="n">
        <x:v>0</x:v>
      </x:c>
      <x:c r="F77" s="18" t="n">
        <x:v>0.11</x:v>
      </x:c>
      <x:c r="G77" s="18" t="n">
        <x:v>0</x:v>
      </x:c>
      <x:c r="H77" s="18" t="n">
        <x:v>1.562</x:v>
      </x:c>
      <x:c r="I77" s="18" t="n">
        <x:v>0</x:v>
      </x:c>
      <x:c r="J77" s="18"/>
      <x:c r="K77" s="18"/>
      <x:c r="L77" s="12" t="n">
        <x:v>0</x:v>
      </x:c>
      <x:c r="M77" s="12" t="n">
        <x:v>0</x:v>
      </x:c>
      <x:c r="N77" s="12" t="str">
        <x:v>Không tính được</x:v>
      </x:c>
      <x:c r="O77" s="12" t="n">
        <x:v>6</x:v>
      </x:c>
      <x:c r="P77" s="12" t="n">
        <x:v>4.123</x:v>
      </x:c>
      <x:c r="Q77" s="12" t="str">
        <x:v>No paths</x:v>
      </x:c>
      <x:c r="R77" s="12" t="str">
        <x:v>No paths</x:v>
      </x:c>
      <x:c r="S77" s="12" t="str">
        <x:f>IF(COUNT(D77:I77,L77:M77)&lt;8,"Chưa đủ dữ liệu",IF(AND(MIN(D77:I77)&gt;=0,L77=0,M77=0),"PASS theo SDC","Cần xử lý"))</x:f>
        <x:v>PASS theo SDC</x:v>
      </x:c>
      <x:c r="T77" s="12" t="str">
        <x:v>D:/ML_KEM_768_1024/09_reports/architecture_tracking/A2_20261025_070821/mlkem_continuous_banked_de10.sta.rpt</x:v>
      </x:c>
    </x:row>
    <x:row r="78" ht="52" customHeight="1">
      <x:c r="A78" s="12" t="str">
        <x:v>A2_20261025_080219</x:v>
      </x:c>
      <x:c r="B78" s="12" t="str">
        <x:v>Slow 1100mV 85C</x:v>
      </x:c>
      <x:c r="C78" s="12" t="n">
        <x:v>6.25</x:v>
      </x:c>
      <x:c r="D78" s="18" t="n">
        <x:v>-0.479</x:v>
      </x:c>
      <x:c r="E78" s="18" t="n">
        <x:v>-25.51</x:v>
      </x:c>
      <x:c r="F78" s="18" t="n">
        <x:v>0.226</x:v>
      </x:c>
      <x:c r="G78" s="18" t="n">
        <x:v>0</x:v>
      </x:c>
      <x:c r="H78" s="18" t="n">
        <x:v>1.562</x:v>
      </x:c>
      <x:c r="I78" s="18" t="n">
        <x:v>0</x:v>
      </x:c>
      <x:c r="J78" s="18" t="n">
        <x:v>148.61</x:v>
      </x:c>
      <x:c r="K78" s="18" t="n">
        <x:v>148.61</x:v>
      </x:c>
      <x:c r="L78" s="12" t="n">
        <x:v>0</x:v>
      </x:c>
      <x:c r="M78" s="12" t="n">
        <x:v>0</x:v>
      </x:c>
      <x:c r="N78" s="12" t="str">
        <x:v>Không tính được</x:v>
      </x:c>
      <x:c r="O78" s="12" t="n">
        <x:v>5</x:v>
      </x:c>
      <x:c r="P78" s="12" t="n">
        <x:v>5.287</x:v>
      </x:c>
      <x:c r="Q78" s="12" t="str">
        <x:v>No paths</x:v>
      </x:c>
      <x:c r="R78" s="12" t="str">
        <x:v>No paths</x:v>
      </x:c>
      <x:c r="S78" s="12" t="str">
        <x:f>IF(COUNT(D78:I78,L78:M78)&lt;8,"Chưa đủ dữ liệu",IF(AND(MIN(D78:I78)&gt;=0,L78=0,M78=0),"PASS theo SDC","Cần xử lý"))</x:f>
        <x:v>Cần xử lý</x:v>
      </x:c>
      <x:c r="T78" s="12" t="str">
        <x:v>D:/ML_KEM_768_1024/09_reports/architecture_tracking/A2_20261025_080219/mlkem_continuous_banked_de10.sta.rpt</x:v>
      </x:c>
    </x:row>
    <x:row r="79" ht="52" customHeight="1">
      <x:c r="A79" s="12" t="str">
        <x:v>A2_20261025_080219</x:v>
      </x:c>
      <x:c r="B79" s="12" t="str">
        <x:v>Slow 1100mV 0C</x:v>
      </x:c>
      <x:c r="C79" s="12" t="n">
        <x:v>6.25</x:v>
      </x:c>
      <x:c r="D79" s="18" t="n">
        <x:v>-0.295</x:v>
      </x:c>
      <x:c r="E79" s="18" t="n">
        <x:v>-4.211</x:v>
      </x:c>
      <x:c r="F79" s="18" t="n">
        <x:v>0.203</x:v>
      </x:c>
      <x:c r="G79" s="18" t="n">
        <x:v>0</x:v>
      </x:c>
      <x:c r="H79" s="18" t="n">
        <x:v>1.562</x:v>
      </x:c>
      <x:c r="I79" s="18" t="n">
        <x:v>0</x:v>
      </x:c>
      <x:c r="J79" s="18" t="n">
        <x:v>152.79</x:v>
      </x:c>
      <x:c r="K79" s="18" t="n">
        <x:v>152.79</x:v>
      </x:c>
      <x:c r="L79" s="12" t="n">
        <x:v>0</x:v>
      </x:c>
      <x:c r="M79" s="12" t="n">
        <x:v>0</x:v>
      </x:c>
      <x:c r="N79" s="12" t="str">
        <x:v>Không tính được</x:v>
      </x:c>
      <x:c r="O79" s="12" t="n">
        <x:v>5</x:v>
      </x:c>
      <x:c r="P79" s="12" t="n">
        <x:v>5.294</x:v>
      </x:c>
      <x:c r="Q79" s="12" t="str">
        <x:v>No paths</x:v>
      </x:c>
      <x:c r="R79" s="12" t="str">
        <x:v>No paths</x:v>
      </x:c>
      <x:c r="S79" s="12" t="str">
        <x:f>IF(COUNT(D79:I79,L79:M79)&lt;8,"Chưa đủ dữ liệu",IF(AND(MIN(D79:I79)&gt;=0,L79=0,M79=0),"PASS theo SDC","Cần xử lý"))</x:f>
        <x:v>Cần xử lý</x:v>
      </x:c>
      <x:c r="T79" s="12" t="str">
        <x:v>D:/ML_KEM_768_1024/09_reports/architecture_tracking/A2_20261025_080219/mlkem_continuous_banked_de10.sta.rpt</x:v>
      </x:c>
    </x:row>
    <x:row r="80" ht="52" customHeight="1">
      <x:c r="A80" s="12" t="str">
        <x:v>A2_20261025_080219</x:v>
      </x:c>
      <x:c r="B80" s="12" t="str">
        <x:v>Fast 1100mV 85C</x:v>
      </x:c>
      <x:c r="C80" s="12" t="n">
        <x:v>6.25</x:v>
      </x:c>
      <x:c r="D80" s="18" t="n">
        <x:v>1.743</x:v>
      </x:c>
      <x:c r="E80" s="18" t="n">
        <x:v>0</x:v>
      </x:c>
      <x:c r="F80" s="18" t="n">
        <x:v>0.142</x:v>
      </x:c>
      <x:c r="G80" s="18" t="n">
        <x:v>0</x:v>
      </x:c>
      <x:c r="H80" s="18" t="n">
        <x:v>1.562</x:v>
      </x:c>
      <x:c r="I80" s="18" t="n">
        <x:v>0</x:v>
      </x:c>
      <x:c r="J80" s="18"/>
      <x:c r="K80" s="18"/>
      <x:c r="L80" s="12" t="n">
        <x:v>0</x:v>
      </x:c>
      <x:c r="M80" s="12" t="n">
        <x:v>0</x:v>
      </x:c>
      <x:c r="N80" s="12" t="str">
        <x:v>Không tính được</x:v>
      </x:c>
      <x:c r="O80" s="12" t="n">
        <x:v>5</x:v>
      </x:c>
      <x:c r="P80" s="12" t="n">
        <x:v>5.685</x:v>
      </x:c>
      <x:c r="Q80" s="12" t="str">
        <x:v>No paths</x:v>
      </x:c>
      <x:c r="R80" s="12" t="str">
        <x:v>No paths</x:v>
      </x:c>
      <x:c r="S80" s="12" t="str">
        <x:f>IF(COUNT(D80:I80,L80:M80)&lt;8,"Chưa đủ dữ liệu",IF(AND(MIN(D80:I80)&gt;=0,L80=0,M80=0),"PASS theo SDC","Cần xử lý"))</x:f>
        <x:v>PASS theo SDC</x:v>
      </x:c>
      <x:c r="T80" s="12" t="str">
        <x:v>D:/ML_KEM_768_1024/09_reports/architecture_tracking/A2_20261025_080219/mlkem_continuous_banked_de10.sta.rpt</x:v>
      </x:c>
    </x:row>
    <x:row r="81" ht="52" customHeight="1">
      <x:c r="A81" s="12" t="str">
        <x:v>A2_20261025_080219</x:v>
      </x:c>
      <x:c r="B81" s="12" t="str">
        <x:v>Fast 1100mV 0C</x:v>
      </x:c>
      <x:c r="C81" s="12" t="n">
        <x:v>6.25</x:v>
      </x:c>
      <x:c r="D81" s="18" t="n">
        <x:v>2.279</x:v>
      </x:c>
      <x:c r="E81" s="18" t="n">
        <x:v>0</x:v>
      </x:c>
      <x:c r="F81" s="18" t="n">
        <x:v>0.123</x:v>
      </x:c>
      <x:c r="G81" s="18" t="n">
        <x:v>0</x:v>
      </x:c>
      <x:c r="H81" s="18" t="n">
        <x:v>1.562</x:v>
      </x:c>
      <x:c r="I81" s="18" t="n">
        <x:v>0</x:v>
      </x:c>
      <x:c r="J81" s="18"/>
      <x:c r="K81" s="18"/>
      <x:c r="L81" s="12" t="n">
        <x:v>0</x:v>
      </x:c>
      <x:c r="M81" s="12" t="n">
        <x:v>0</x:v>
      </x:c>
      <x:c r="N81" s="12" t="str">
        <x:v>Không tính được</x:v>
      </x:c>
      <x:c r="O81" s="12" t="n">
        <x:v>5</x:v>
      </x:c>
      <x:c r="P81" s="12" t="n">
        <x:v>5.717</x:v>
      </x:c>
      <x:c r="Q81" s="12" t="str">
        <x:v>No paths</x:v>
      </x:c>
      <x:c r="R81" s="12" t="str">
        <x:v>No paths</x:v>
      </x:c>
      <x:c r="S81" s="12" t="str">
        <x:f>IF(COUNT(D81:I81,L81:M81)&lt;8,"Chưa đủ dữ liệu",IF(AND(MIN(D81:I81)&gt;=0,L81=0,M81=0),"PASS theo SDC","Cần xử lý"))</x:f>
        <x:v>PASS theo SDC</x:v>
      </x:c>
      <x:c r="T81" s="12" t="str">
        <x:v>D:/ML_KEM_768_1024/09_reports/architecture_tracking/A2_20261025_080219/mlkem_continuous_banked_de10.sta.rpt</x:v>
      </x:c>
    </x:row>
    <x:row r="82" ht="52" customHeight="1">
      <x:c r="A82" s="12" t="str">
        <x:v>A2_20261025_084624</x:v>
      </x:c>
      <x:c r="B82" s="12" t="str">
        <x:v>Slow 1100mV 85C</x:v>
      </x:c>
      <x:c r="C82" s="12" t="n">
        <x:v>6.25</x:v>
      </x:c>
      <x:c r="D82" s="18" t="n">
        <x:v>-0.501</x:v>
      </x:c>
      <x:c r="E82" s="18" t="n">
        <x:v>-14.112</x:v>
      </x:c>
      <x:c r="F82" s="18" t="n">
        <x:v>0.167</x:v>
      </x:c>
      <x:c r="G82" s="18" t="n">
        <x:v>0</x:v>
      </x:c>
      <x:c r="H82" s="18" t="n">
        <x:v>1.562</x:v>
      </x:c>
      <x:c r="I82" s="18" t="n">
        <x:v>0</x:v>
      </x:c>
      <x:c r="J82" s="18" t="n">
        <x:v>148.13</x:v>
      </x:c>
      <x:c r="K82" s="18" t="n">
        <x:v>148.13</x:v>
      </x:c>
      <x:c r="L82" s="12" t="n">
        <x:v>0</x:v>
      </x:c>
      <x:c r="M82" s="12" t="n">
        <x:v>0</x:v>
      </x:c>
      <x:c r="N82" s="12" t="str">
        <x:v>Không tính được</x:v>
      </x:c>
      <x:c r="O82" s="12" t="n">
        <x:v>6</x:v>
      </x:c>
      <x:c r="P82" s="12" t="n">
        <x:v>3.431</x:v>
      </x:c>
      <x:c r="Q82" s="12" t="str">
        <x:v>No paths</x:v>
      </x:c>
      <x:c r="R82" s="12" t="str">
        <x:v>No paths</x:v>
      </x:c>
      <x:c r="S82" s="12" t="str">
        <x:f>IF(COUNT(D82:I82,L82:M82)&lt;8,"Chưa đủ dữ liệu",IF(AND(MIN(D82:I82)&gt;=0,L82=0,M82=0),"PASS theo SDC","Cần xử lý"))</x:f>
        <x:v>Cần xử lý</x:v>
      </x:c>
      <x:c r="T82" s="12" t="str">
        <x:v>D:/ML_KEM_768_1024/09_reports/architecture_tracking/A2_20261025_084624/mlkem_continuous_banked_de10.sta.rpt</x:v>
      </x:c>
    </x:row>
    <x:row r="83" ht="52" customHeight="1">
      <x:c r="A83" s="12" t="str">
        <x:v>A2_20261025_084624</x:v>
      </x:c>
      <x:c r="B83" s="12" t="str">
        <x:v>Slow 1100mV 0C</x:v>
      </x:c>
      <x:c r="C83" s="12" t="n">
        <x:v>6.25</x:v>
      </x:c>
      <x:c r="D83" s="18" t="n">
        <x:v>-0.344</x:v>
      </x:c>
      <x:c r="E83" s="18" t="n">
        <x:v>-7.447</x:v>
      </x:c>
      <x:c r="F83" s="18" t="n">
        <x:v>0.091</x:v>
      </x:c>
      <x:c r="G83" s="18" t="n">
        <x:v>0</x:v>
      </x:c>
      <x:c r="H83" s="18" t="n">
        <x:v>1.562</x:v>
      </x:c>
      <x:c r="I83" s="18" t="n">
        <x:v>0</x:v>
      </x:c>
      <x:c r="J83" s="18" t="n">
        <x:v>151.65</x:v>
      </x:c>
      <x:c r="K83" s="18" t="n">
        <x:v>151.65</x:v>
      </x:c>
      <x:c r="L83" s="12" t="n">
        <x:v>0</x:v>
      </x:c>
      <x:c r="M83" s="12" t="n">
        <x:v>0</x:v>
      </x:c>
      <x:c r="N83" s="12" t="str">
        <x:v>Không tính được</x:v>
      </x:c>
      <x:c r="O83" s="12" t="n">
        <x:v>6</x:v>
      </x:c>
      <x:c r="P83" s="12" t="n">
        <x:v>3.52</x:v>
      </x:c>
      <x:c r="Q83" s="12" t="str">
        <x:v>No paths</x:v>
      </x:c>
      <x:c r="R83" s="12" t="str">
        <x:v>No paths</x:v>
      </x:c>
      <x:c r="S83" s="12" t="str">
        <x:f>IF(COUNT(D83:I83,L83:M83)&lt;8,"Chưa đủ dữ liệu",IF(AND(MIN(D83:I83)&gt;=0,L83=0,M83=0),"PASS theo SDC","Cần xử lý"))</x:f>
        <x:v>Cần xử lý</x:v>
      </x:c>
      <x:c r="T83" s="12" t="str">
        <x:v>D:/ML_KEM_768_1024/09_reports/architecture_tracking/A2_20261025_084624/mlkem_continuous_banked_de10.sta.rpt</x:v>
      </x:c>
    </x:row>
    <x:row r="84" ht="52" customHeight="1">
      <x:c r="A84" s="12" t="str">
        <x:v>A2_20261025_084624</x:v>
      </x:c>
      <x:c r="B84" s="12" t="str">
        <x:v>Fast 1100mV 85C</x:v>
      </x:c>
      <x:c r="C84" s="12" t="n">
        <x:v>6.25</x:v>
      </x:c>
      <x:c r="D84" s="18" t="n">
        <x:v>1.703</x:v>
      </x:c>
      <x:c r="E84" s="18" t="n">
        <x:v>0</x:v>
      </x:c>
      <x:c r="F84" s="18" t="n">
        <x:v>0.115</x:v>
      </x:c>
      <x:c r="G84" s="18" t="n">
        <x:v>0</x:v>
      </x:c>
      <x:c r="H84" s="18" t="n">
        <x:v>1.562</x:v>
      </x:c>
      <x:c r="I84" s="18" t="n">
        <x:v>0</x:v>
      </x:c>
      <x:c r="J84" s="18"/>
      <x:c r="K84" s="18"/>
      <x:c r="L84" s="12" t="n">
        <x:v>0</x:v>
      </x:c>
      <x:c r="M84" s="12" t="n">
        <x:v>0</x:v>
      </x:c>
      <x:c r="N84" s="12" t="str">
        <x:v>Không tính được</x:v>
      </x:c>
      <x:c r="O84" s="12" t="n">
        <x:v>6</x:v>
      </x:c>
      <x:c r="P84" s="12" t="n">
        <x:v>4.377</x:v>
      </x:c>
      <x:c r="Q84" s="12" t="str">
        <x:v>No paths</x:v>
      </x:c>
      <x:c r="R84" s="12" t="str">
        <x:v>No paths</x:v>
      </x:c>
      <x:c r="S84" s="12" t="str">
        <x:f>IF(COUNT(D84:I84,L84:M84)&lt;8,"Chưa đủ dữ liệu",IF(AND(MIN(D84:I84)&gt;=0,L84=0,M84=0),"PASS theo SDC","Cần xử lý"))</x:f>
        <x:v>PASS theo SDC</x:v>
      </x:c>
      <x:c r="T84" s="12" t="str">
        <x:v>D:/ML_KEM_768_1024/09_reports/architecture_tracking/A2_20261025_084624/mlkem_continuous_banked_de10.sta.rpt</x:v>
      </x:c>
    </x:row>
    <x:row r="85" ht="52" customHeight="1">
      <x:c r="A85" s="12" t="str">
        <x:v>A2_20261025_084624</x:v>
      </x:c>
      <x:c r="B85" s="12" t="str">
        <x:v>Fast 1100mV 0C</x:v>
      </x:c>
      <x:c r="C85" s="12" t="n">
        <x:v>6.25</x:v>
      </x:c>
      <x:c r="D85" s="18" t="n">
        <x:v>2.216</x:v>
      </x:c>
      <x:c r="E85" s="18" t="n">
        <x:v>0</x:v>
      </x:c>
      <x:c r="F85" s="18" t="n">
        <x:v>0.08</x:v>
      </x:c>
      <x:c r="G85" s="18" t="n">
        <x:v>0</x:v>
      </x:c>
      <x:c r="H85" s="18" t="n">
        <x:v>1.562</x:v>
      </x:c>
      <x:c r="I85" s="18" t="n">
        <x:v>0</x:v>
      </x:c>
      <x:c r="J85" s="18"/>
      <x:c r="K85" s="18"/>
      <x:c r="L85" s="12" t="n">
        <x:v>0</x:v>
      </x:c>
      <x:c r="M85" s="12" t="n">
        <x:v>0</x:v>
      </x:c>
      <x:c r="N85" s="12" t="str">
        <x:v>Không tính được</x:v>
      </x:c>
      <x:c r="O85" s="12" t="n">
        <x:v>6</x:v>
      </x:c>
      <x:c r="P85" s="12" t="n">
        <x:v>4.562</x:v>
      </x:c>
      <x:c r="Q85" s="12" t="str">
        <x:v>No paths</x:v>
      </x:c>
      <x:c r="R85" s="12" t="str">
        <x:v>No paths</x:v>
      </x:c>
      <x:c r="S85" s="12" t="str">
        <x:f>IF(COUNT(D85:I85,L85:M85)&lt;8,"Chưa đủ dữ liệu",IF(AND(MIN(D85:I85)&gt;=0,L85=0,M85=0),"PASS theo SDC","Cần xử lý"))</x:f>
        <x:v>PASS theo SDC</x:v>
      </x:c>
      <x:c r="T85" s="12" t="str">
        <x:v>D:/ML_KEM_768_1024/09_reports/architecture_tracking/A2_20261025_084624/mlkem_continuous_banked_de10.sta.rpt</x:v>
      </x:c>
    </x:row>
    <x:row r="86" ht="52" customHeight="1">
      <x:c r="A86" s="12" t="str">
        <x:v>A2_20261025_094051</x:v>
      </x:c>
      <x:c r="B86" s="12" t="str">
        <x:v>Slow 1100mV 85C</x:v>
      </x:c>
      <x:c r="C86" s="18" t="n">
        <x:v>6.25</x:v>
      </x:c>
      <x:c r="D86" s="18" t="n">
        <x:v>0.007</x:v>
      </x:c>
      <x:c r="E86" s="18" t="n">
        <x:v>0</x:v>
      </x:c>
      <x:c r="F86" s="18" t="n">
        <x:v>0.214</x:v>
      </x:c>
      <x:c r="G86" s="18" t="n">
        <x:v>0</x:v>
      </x:c>
      <x:c r="H86" s="18" t="n">
        <x:v>1.562</x:v>
      </x:c>
      <x:c r="I86" s="18" t="n">
        <x:v>0</x:v>
      </x:c>
      <x:c r="J86" s="18" t="n">
        <x:v>160.18</x:v>
      </x:c>
      <x:c r="K86" s="18" t="n">
        <x:v>160.18</x:v>
      </x:c>
      <x:c r="L86" s="12" t="n">
        <x:v>0</x:v>
      </x:c>
      <x:c r="M86" s="12" t="n">
        <x:v>0</x:v>
      </x:c>
      <x:c r="N86" s="12" t="str">
        <x:v>Không tính được</x:v>
      </x:c>
      <x:c r="O86" s="12" t="n">
        <x:v>6</x:v>
      </x:c>
      <x:c r="P86" s="12" t="n">
        <x:v>5.306</x:v>
      </x:c>
      <x:c r="Q86" s="12" t="str">
        <x:v>No paths</x:v>
      </x:c>
      <x:c r="R86" s="12" t="str">
        <x:v>No paths</x:v>
      </x:c>
      <x:c r="S86" s="12" t="str">
        <x:f>IF(COUNT(D86:I86,L86:M86)&lt;8,"Chưa đủ dữ liệu",IF(AND(MIN(D86:I86)&gt;=0,L86=0,M86=0),"PASS theo SDC","Cần xử lý"))</x:f>
        <x:v>PASS theo SDC</x:v>
      </x:c>
      <x:c r="T86" s="12" t="str">
        <x:v>D:/ML_KEM_768_1024/09_reports/architecture_tracking/A2_20261025_094051/mlkem_continuous_banked_de10.sta.rpt</x:v>
      </x:c>
    </x:row>
    <x:row r="87" ht="52" customHeight="1">
      <x:c r="A87" s="12" t="str">
        <x:v>A2_20261025_094051</x:v>
      </x:c>
      <x:c r="B87" s="12" t="str">
        <x:v>Slow 1100mV 0C</x:v>
      </x:c>
      <x:c r="C87" s="18" t="n">
        <x:v>6.25</x:v>
      </x:c>
      <x:c r="D87" s="18" t="n">
        <x:v>-0.051</x:v>
      </x:c>
      <x:c r="E87" s="18" t="n">
        <x:v>-0.092</x:v>
      </x:c>
      <x:c r="F87" s="18" t="n">
        <x:v>0.196</x:v>
      </x:c>
      <x:c r="G87" s="18" t="n">
        <x:v>0</x:v>
      </x:c>
      <x:c r="H87" s="18" t="n">
        <x:v>1.562</x:v>
      </x:c>
      <x:c r="I87" s="18" t="n">
        <x:v>0</x:v>
      </x:c>
      <x:c r="J87" s="18" t="n">
        <x:v>158.7</x:v>
      </x:c>
      <x:c r="K87" s="18" t="n">
        <x:v>158.7</x:v>
      </x:c>
      <x:c r="L87" s="12" t="n">
        <x:v>0</x:v>
      </x:c>
      <x:c r="M87" s="12" t="n">
        <x:v>0</x:v>
      </x:c>
      <x:c r="N87" s="12" t="str">
        <x:v>Không tính được</x:v>
      </x:c>
      <x:c r="O87" s="12" t="n">
        <x:v>6</x:v>
      </x:c>
      <x:c r="P87" s="12" t="n">
        <x:v>5.305</x:v>
      </x:c>
      <x:c r="Q87" s="12" t="str">
        <x:v>No paths</x:v>
      </x:c>
      <x:c r="R87" s="12" t="str">
        <x:v>No paths</x:v>
      </x:c>
      <x:c r="S87" s="12" t="str">
        <x:f>IF(COUNT(D87:I87,L87:M87)&lt;8,"Chưa đủ dữ liệu",IF(AND(MIN(D87:I87)&gt;=0,L87=0,M87=0),"PASS theo SDC","Cần xử lý"))</x:f>
        <x:v>Cần xử lý</x:v>
      </x:c>
      <x:c r="T87" s="12" t="str">
        <x:v>D:/ML_KEM_768_1024/09_reports/architecture_tracking/A2_20261025_094051/mlkem_continuous_banked_de10.sta.rpt</x:v>
      </x:c>
    </x:row>
    <x:row r="88" ht="52" customHeight="1">
      <x:c r="A88" s="12" t="str">
        <x:v>A2_20261025_094051</x:v>
      </x:c>
      <x:c r="B88" s="12" t="str">
        <x:v>Fast 1100mV 85C</x:v>
      </x:c>
      <x:c r="C88" s="18" t="n">
        <x:v>6.25</x:v>
      </x:c>
      <x:c r="D88" s="18" t="n">
        <x:v>2.343</x:v>
      </x:c>
      <x:c r="E88" s="18" t="n">
        <x:v>0</x:v>
      </x:c>
      <x:c r="F88" s="18" t="n">
        <x:v>0.133</x:v>
      </x:c>
      <x:c r="G88" s="18" t="n">
        <x:v>0</x:v>
      </x:c>
      <x:c r="H88" s="18" t="n">
        <x:v>1.562</x:v>
      </x:c>
      <x:c r="I88" s="18" t="n">
        <x:v>0</x:v>
      </x:c>
      <x:c r="J88" s="18"/>
      <x:c r="K88" s="18"/>
      <x:c r="L88" s="12" t="n">
        <x:v>0</x:v>
      </x:c>
      <x:c r="M88" s="12" t="n">
        <x:v>0</x:v>
      </x:c>
      <x:c r="N88" s="12" t="str">
        <x:v>Không tính được</x:v>
      </x:c>
      <x:c r="O88" s="12" t="n">
        <x:v>6</x:v>
      </x:c>
      <x:c r="P88" s="12" t="n">
        <x:v>5.695</x:v>
      </x:c>
      <x:c r="Q88" s="12" t="str">
        <x:v>No paths</x:v>
      </x:c>
      <x:c r="R88" s="12" t="str">
        <x:v>No paths</x:v>
      </x:c>
      <x:c r="S88" s="12" t="str">
        <x:f>IF(COUNT(D88:I88,L88:M88)&lt;8,"Chưa đủ dữ liệu",IF(AND(MIN(D88:I88)&gt;=0,L88=0,M88=0),"PASS theo SDC","Cần xử lý"))</x:f>
        <x:v>PASS theo SDC</x:v>
      </x:c>
      <x:c r="T88" s="12" t="str">
        <x:v>D:/ML_KEM_768_1024/09_reports/architecture_tracking/A2_20261025_094051/mlkem_continuous_banked_de10.sta.rpt</x:v>
      </x:c>
    </x:row>
    <x:row r="89" ht="52" customHeight="1">
      <x:c r="A89" s="12" t="str">
        <x:v>A2_20261025_094051</x:v>
      </x:c>
      <x:c r="B89" s="12" t="str">
        <x:v>Fast 1100mV 0C</x:v>
      </x:c>
      <x:c r="C89" s="18" t="n">
        <x:v>6.25</x:v>
      </x:c>
      <x:c r="D89" s="18" t="n">
        <x:v>2.767</x:v>
      </x:c>
      <x:c r="E89" s="18" t="n">
        <x:v>0</x:v>
      </x:c>
      <x:c r="F89" s="18" t="n">
        <x:v>0.121</x:v>
      </x:c>
      <x:c r="G89" s="18" t="n">
        <x:v>0</x:v>
      </x:c>
      <x:c r="H89" s="18" t="n">
        <x:v>1.562</x:v>
      </x:c>
      <x:c r="I89" s="18" t="n">
        <x:v>0</x:v>
      </x:c>
      <x:c r="J89" s="18"/>
      <x:c r="K89" s="18"/>
      <x:c r="L89" s="12" t="n">
        <x:v>0</x:v>
      </x:c>
      <x:c r="M89" s="12" t="n">
        <x:v>0</x:v>
      </x:c>
      <x:c r="N89" s="12" t="str">
        <x:v>Không tính được</x:v>
      </x:c>
      <x:c r="O89" s="12" t="n">
        <x:v>6</x:v>
      </x:c>
      <x:c r="P89" s="12" t="n">
        <x:v>5.722</x:v>
      </x:c>
      <x:c r="Q89" s="12" t="str">
        <x:v>No paths</x:v>
      </x:c>
      <x:c r="R89" s="12" t="str">
        <x:v>No paths</x:v>
      </x:c>
      <x:c r="S89" s="12" t="str">
        <x:f>IF(COUNT(D89:I89,L89:M89)&lt;8,"Chưa đủ dữ liệu",IF(AND(MIN(D89:I89)&gt;=0,L89=0,M89=0),"PASS theo SDC","Cần xử lý"))</x:f>
        <x:v>PASS theo SDC</x:v>
      </x:c>
      <x:c r="T89" s="12" t="str">
        <x:v>D:/ML_KEM_768_1024/09_reports/architecture_tracking/A2_20261025_094051/mlkem_continuous_banked_de10.sta.rpt</x:v>
      </x:c>
    </x:row>
  </x:sheetData>
  <x:conditionalFormatting sqref="D6:I6">
    <x:cfRule type="cellIs" dxfId="0" priority="1" operator="lessThan">
      <x:formula>0</x:formula>
    </x:cfRule>
  </x:conditionalFormatting>
  <x:conditionalFormatting sqref="D7:I7">
    <x:cfRule type="cellIs" dxfId="1" priority="2" operator="lessThan">
      <x:formula>0</x:formula>
    </x:cfRule>
  </x:conditionalFormatting>
  <x:conditionalFormatting sqref="D8:I8">
    <x:cfRule type="cellIs" dxfId="2" priority="3" operator="lessThan">
      <x:formula>0</x:formula>
    </x:cfRule>
  </x:conditionalFormatting>
  <x:conditionalFormatting sqref="D9:I9">
    <x:cfRule type="cellIs" dxfId="3" priority="4" operator="lessThan">
      <x:formula>0</x:formula>
    </x:cfRule>
  </x:conditionalFormatting>
  <x:conditionalFormatting sqref="D10:I10">
    <x:cfRule type="cellIs" dxfId="4" priority="5" operator="lessThan">
      <x:formula>0</x:formula>
    </x:cfRule>
  </x:conditionalFormatting>
  <x:conditionalFormatting sqref="D11:I11">
    <x:cfRule type="cellIs" dxfId="5" priority="6" operator="lessThan">
      <x:formula>0</x:formula>
    </x:cfRule>
  </x:conditionalFormatting>
  <x:conditionalFormatting sqref="D12:I12">
    <x:cfRule type="cellIs" dxfId="6" priority="7" operator="lessThan">
      <x:formula>0</x:formula>
    </x:cfRule>
  </x:conditionalFormatting>
  <x:conditionalFormatting sqref="D13:I13">
    <x:cfRule type="cellIs" dxfId="7" priority="8" operator="lessThan">
      <x:formula>0</x:formula>
    </x:cfRule>
  </x:conditionalFormatting>
  <x:conditionalFormatting sqref="D14:I14">
    <x:cfRule type="cellIs" dxfId="8" priority="9" operator="lessThan">
      <x:formula>0</x:formula>
    </x:cfRule>
  </x:conditionalFormatting>
  <x:conditionalFormatting sqref="D15:I15">
    <x:cfRule type="cellIs" dxfId="9" priority="10" operator="lessThan">
      <x:formula>0</x:formula>
    </x:cfRule>
  </x:conditionalFormatting>
  <x:conditionalFormatting sqref="D16:I16">
    <x:cfRule type="cellIs" dxfId="10" priority="11" operator="lessThan">
      <x:formula>0</x:formula>
    </x:cfRule>
  </x:conditionalFormatting>
  <x:conditionalFormatting sqref="D17:I17">
    <x:cfRule type="cellIs" dxfId="11" priority="12" operator="lessThan">
      <x:formula>0</x:formula>
    </x:cfRule>
  </x:conditionalFormatting>
  <x:conditionalFormatting sqref="D18:I18">
    <x:cfRule type="cellIs" dxfId="12" priority="13" operator="lessThan">
      <x:formula>0</x:formula>
    </x:cfRule>
  </x:conditionalFormatting>
  <x:conditionalFormatting sqref="D19:I19">
    <x:cfRule type="cellIs" dxfId="13" priority="14" operator="lessThan">
      <x:formula>0</x:formula>
    </x:cfRule>
  </x:conditionalFormatting>
  <x:conditionalFormatting sqref="D20:I20">
    <x:cfRule type="cellIs" dxfId="14" priority="15" operator="lessThan">
      <x:formula>0</x:formula>
    </x:cfRule>
  </x:conditionalFormatting>
  <x:conditionalFormatting sqref="D21:I21">
    <x:cfRule type="cellIs" dxfId="15" priority="16" operator="lessThan">
      <x:formula>0</x:formula>
    </x:cfRule>
  </x:conditionalFormatting>
  <x:conditionalFormatting sqref="D22:I22">
    <x:cfRule type="cellIs" dxfId="16" priority="17" operator="lessThan">
      <x:formula>0</x:formula>
    </x:cfRule>
  </x:conditionalFormatting>
  <x:conditionalFormatting sqref="D23:I23">
    <x:cfRule type="cellIs" dxfId="17" priority="18" operator="lessThan">
      <x:formula>0</x:formula>
    </x:cfRule>
  </x:conditionalFormatting>
  <x:conditionalFormatting sqref="D24:I24">
    <x:cfRule type="cellIs" dxfId="18" priority="19" operator="lessThan">
      <x:formula>0</x:formula>
    </x:cfRule>
  </x:conditionalFormatting>
  <x:conditionalFormatting sqref="D25:I25">
    <x:cfRule type="cellIs" dxfId="19" priority="20" operator="lessThan">
      <x:formula>0</x:formula>
    </x:cfRule>
  </x:conditionalFormatting>
  <x:conditionalFormatting sqref="D26:I26">
    <x:cfRule type="cellIs" dxfId="20" priority="21" operator="lessThan">
      <x:formula>0</x:formula>
    </x:cfRule>
  </x:conditionalFormatting>
  <x:conditionalFormatting sqref="D27:I27">
    <x:cfRule type="cellIs" dxfId="21" priority="22" operator="lessThan">
      <x:formula>0</x:formula>
    </x:cfRule>
  </x:conditionalFormatting>
  <x:conditionalFormatting sqref="D28:I28">
    <x:cfRule type="cellIs" dxfId="22" priority="23" operator="lessThan">
      <x:formula>0</x:formula>
    </x:cfRule>
  </x:conditionalFormatting>
  <x:conditionalFormatting sqref="D29:I29">
    <x:cfRule type="cellIs" dxfId="23" priority="24" operator="lessThan">
      <x:formula>0</x:formula>
    </x:cfRule>
  </x:conditionalFormatting>
  <x:conditionalFormatting sqref="D30:I57">
    <x:cfRule type="cellIs" dxfId="26" priority="25" operator="lessThan">
      <x:formula>0</x:formula>
    </x:cfRule>
  </x:conditionalFormatting>
  <x:conditionalFormatting sqref="D58:I65">
    <x:cfRule type="cellIs" dxfId="27" priority="26" operator="lessThan">
      <x:formula>0</x:formula>
    </x:cfRule>
  </x:conditionalFormatting>
  <x:conditionalFormatting sqref="D66:I66">
    <x:cfRule type="cellIs" dxfId="28" priority="27" operator="lessThan">
      <x:formula>0</x:formula>
    </x:cfRule>
  </x:conditionalFormatting>
  <x:conditionalFormatting sqref="D67:I67">
    <x:cfRule type="cellIs" dxfId="29" priority="28" operator="lessThan">
      <x:formula>0</x:formula>
    </x:cfRule>
  </x:conditionalFormatting>
  <x:conditionalFormatting sqref="D68:I68">
    <x:cfRule type="cellIs" dxfId="30" priority="29" operator="lessThan">
      <x:formula>0</x:formula>
    </x:cfRule>
  </x:conditionalFormatting>
  <x:conditionalFormatting sqref="D69:I69">
    <x:cfRule type="cellIs" dxfId="31" priority="30" operator="lessThan">
      <x:formula>0</x:formula>
    </x:cfRule>
  </x:conditionalFormatting>
  <x:conditionalFormatting sqref="D70:I70">
    <x:cfRule type="cellIs" dxfId="33" priority="31" operator="lessThan">
      <x:formula>0</x:formula>
    </x:cfRule>
  </x:conditionalFormatting>
  <x:conditionalFormatting sqref="D71:I71">
    <x:cfRule type="cellIs" dxfId="34" priority="32" operator="lessThan">
      <x:formula>0</x:formula>
    </x:cfRule>
  </x:conditionalFormatting>
  <x:conditionalFormatting sqref="D72:I72">
    <x:cfRule type="cellIs" dxfId="35" priority="33" operator="lessThan">
      <x:formula>0</x:formula>
    </x:cfRule>
  </x:conditionalFormatting>
  <x:conditionalFormatting sqref="D73:I73">
    <x:cfRule type="cellIs" dxfId="36" priority="34" operator="lessThan">
      <x:formula>0</x:formula>
    </x:cfRule>
  </x:conditionalFormatting>
  <x:conditionalFormatting sqref="D74:I74">
    <x:cfRule type="cellIs" dxfId="38" priority="35" operator="lessThan">
      <x:formula>0</x:formula>
    </x:cfRule>
  </x:conditionalFormatting>
  <x:conditionalFormatting sqref="D75:I75">
    <x:cfRule type="cellIs" dxfId="39" priority="36" operator="lessThan">
      <x:formula>0</x:formula>
    </x:cfRule>
  </x:conditionalFormatting>
  <x:conditionalFormatting sqref="D76:I76">
    <x:cfRule type="cellIs" dxfId="40" priority="37" operator="lessThan">
      <x:formula>0</x:formula>
    </x:cfRule>
  </x:conditionalFormatting>
  <x:conditionalFormatting sqref="D77:I77">
    <x:cfRule type="cellIs" dxfId="41" priority="38" operator="lessThan">
      <x:formula>0</x:formula>
    </x:cfRule>
  </x:conditionalFormatting>
  <x:conditionalFormatting sqref="D78:I78">
    <x:cfRule type="cellIs" dxfId="43" priority="39" operator="lessThan">
      <x:formula>0</x:formula>
    </x:cfRule>
  </x:conditionalFormatting>
  <x:conditionalFormatting sqref="D79:I79">
    <x:cfRule type="cellIs" dxfId="44" priority="40" operator="lessThan">
      <x:formula>0</x:formula>
    </x:cfRule>
  </x:conditionalFormatting>
  <x:conditionalFormatting sqref="D80:I80">
    <x:cfRule type="cellIs" dxfId="45" priority="41" operator="lessThan">
      <x:formula>0</x:formula>
    </x:cfRule>
  </x:conditionalFormatting>
  <x:conditionalFormatting sqref="D81:I81">
    <x:cfRule type="cellIs" dxfId="46" priority="42" operator="lessThan">
      <x:formula>0</x:formula>
    </x:cfRule>
  </x:conditionalFormatting>
  <x:conditionalFormatting sqref="D82:I82">
    <x:cfRule type="cellIs" dxfId="47" priority="43" operator="lessThan">
      <x:formula>0</x:formula>
    </x:cfRule>
  </x:conditionalFormatting>
  <x:conditionalFormatting sqref="D83:I83">
    <x:cfRule type="cellIs" dxfId="48" priority="44" operator="lessThan">
      <x:formula>0</x:formula>
    </x:cfRule>
  </x:conditionalFormatting>
  <x:conditionalFormatting sqref="D84:I84">
    <x:cfRule type="cellIs" dxfId="49" priority="45" operator="lessThan">
      <x:formula>0</x:formula>
    </x:cfRule>
  </x:conditionalFormatting>
  <x:conditionalFormatting sqref="D85:I85">
    <x:cfRule type="cellIs" dxfId="50" priority="46" operator="lessThan">
      <x:formula>0</x:formula>
    </x:cfRule>
  </x:conditionalFormatting>
  <x:conditionalFormatting sqref="D86:I86">
    <x:cfRule type="cellIs" dxfId="51" priority="47" operator="lessThan">
      <x:formula>0</x:formula>
    </x:cfRule>
  </x:conditionalFormatting>
  <x:conditionalFormatting sqref="D87:I87">
    <x:cfRule type="cellIs" dxfId="52" priority="48" operator="lessThan">
      <x:formula>0</x:formula>
    </x:cfRule>
  </x:conditionalFormatting>
  <x:conditionalFormatting sqref="D88:I88">
    <x:cfRule type="cellIs" dxfId="53" priority="49" operator="lessThan">
      <x:formula>0</x:formula>
    </x:cfRule>
  </x:conditionalFormatting>
  <x:conditionalFormatting sqref="D89:I89">
    <x:cfRule type="cellIs" dxfId="54" priority="50" operator="lessThan">
      <x:formula>0</x:formula>
    </x:cfRule>
  </x:conditionalFormatting>
  <x:pageMargins left="0.7" right="0.7" top="0.75" bottom="0.75" header="0.3" footer="0.3"/>
  <x:tableParts count="1">
    <x:tablePart xmlns:r="http://schemas.openxmlformats.org/officeDocument/2006/relationships" r:id="Rccb2797c26074861"/>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9" hidden="0" customWidth="1"/>
    <x:col min="2" max="2" width="17" hidden="0" customWidth="1"/>
    <x:col min="3" max="3" width="24" hidden="0" customWidth="1"/>
    <x:col min="4" max="4" width="17" hidden="0" customWidth="1"/>
    <x:col min="5" max="5" width="17" hidden="0" customWidth="1"/>
    <x:col min="6" max="6" width="17" hidden="0" customWidth="1"/>
    <x:col min="7" max="7" width="17" hidden="0" customWidth="1"/>
    <x:col min="8" max="8" width="17" hidden="0" customWidth="1"/>
    <x:col min="9" max="9" width="43" hidden="0" customWidth="1"/>
    <x:col min="10" max="10" width="43" hidden="0" customWidth="1"/>
    <x:col min="11" max="11" width="43" hidden="0" customWidth="1"/>
    <x:col min="12" max="12" width="50" hidden="0" customWidth="1"/>
    <x:col min="13" max="13" width="17" hidden="0" customWidth="1"/>
    <x:col min="14" max="14" width="17" hidden="0" customWidth="1"/>
  </x:cols>
  <x:sheetData>
    <x:row r="1" ht="23" customHeight="1">
      <x:c r="A1" s="2"/>
      <x:c r="B1" s="2"/>
      <x:c r="C1" s="2"/>
      <x:c r="D1" s="2"/>
      <x:c r="E1" s="2"/>
      <x:c r="F1" s="2"/>
      <x:c r="G1" s="2"/>
      <x:c r="H1" s="2"/>
      <x:c r="I1" s="2"/>
      <x:c r="J1" s="2"/>
      <x:c r="K1" s="2"/>
      <x:c r="L1" s="2"/>
      <x:c r="M1" s="2"/>
      <x:c r="N1" s="2"/>
    </x:row>
    <x:row r="2" ht="23" customHeight="1">
      <x:c r="A2" s="3" t="str">
        <x:v>Kiểm thử RTL và chu kỳ xử lý</x:v>
      </x:c>
      <x:c r="B2" s="2"/>
      <x:c r="C2" s="2"/>
      <x:c r="D2" s="2"/>
      <x:c r="E2" s="2"/>
      <x:c r="F2" s="2"/>
      <x:c r="G2" s="2"/>
      <x:c r="H2" s="2"/>
      <x:c r="I2" s="2"/>
      <x:c r="J2" s="2"/>
      <x:c r="K2" s="2"/>
      <x:c r="L2" s="2"/>
      <x:c r="M2" s="2"/>
      <x:c r="N2" s="2"/>
    </x:row>
    <x:row r="3" ht="23" customHeight="1">
      <x:c r="A3" s="2" t="str">
        <x:v>Vector cố định; không gồm UART. 2BU/8BU chưa đạt setup; latency quy đổi ở 160 MHz là giá trị mục tiêu.</x:v>
      </x:c>
      <x:c r="B3" s="2"/>
      <x:c r="C3" s="2"/>
      <x:c r="D3" s="2"/>
      <x:c r="E3" s="2"/>
      <x:c r="F3" s="2"/>
      <x:c r="G3" s="2"/>
      <x:c r="H3" s="2"/>
      <x:c r="I3" s="2"/>
      <x:c r="J3" s="2"/>
      <x:c r="K3" s="2"/>
      <x:c r="L3" s="2"/>
      <x:c r="M3" s="2"/>
      <x:c r="N3" s="2"/>
    </x:row>
    <x:row r="4" ht="23" customHeight="1">
      <x:c r="A4" s="2"/>
      <x:c r="B4" s="2"/>
      <x:c r="C4" s="2"/>
      <x:c r="D4" s="2"/>
      <x:c r="E4" s="2"/>
      <x:c r="F4" s="2"/>
      <x:c r="G4" s="2"/>
      <x:c r="H4" s="2"/>
      <x:c r="I4" s="2"/>
      <x:c r="J4" s="2"/>
      <x:c r="K4" s="2"/>
      <x:c r="L4" s="2"/>
      <x:c r="M4" s="2"/>
      <x:c r="N4" s="2"/>
    </x:row>
    <x:row r="5" ht="42" customHeight="1">
      <x:c r="A5" s="7" t="str">
        <x:v>Sim ID</x:v>
      </x:c>
      <x:c r="B5" s="7" t="str">
        <x:v>Kiến trúc</x:v>
      </x:c>
      <x:c r="C5" s="7" t="str">
        <x:v>Ngày bắt đầu</x:v>
      </x:c>
      <x:c r="D5" s="7" t="str">
        <x:v>Regression</x:v>
      </x:c>
      <x:c r="E5" s="7" t="str">
        <x:v>RTL benches</x:v>
      </x:c>
      <x:c r="F5" s="7" t="str">
        <x:v>PLL vendor</x:v>
      </x:c>
      <x:c r="G5" s="7" t="str">
        <x:v>Host tests</x:v>
      </x:c>
      <x:c r="H5" s="7" t="str">
        <x:v>Inputs unchanged</x:v>
      </x:c>
      <x:c r="I5" s="7" t="str">
        <x:v>Service vector SHA256</x:v>
      </x:c>
      <x:c r="J5" s="7" t="str">
        <x:v>ACVP phạm vi</x:v>
      </x:c>
      <x:c r="K5" s="7" t="str">
        <x:v>Nguồn</x:v>
      </x:c>
      <x:c r="L5" s="2"/>
      <x:c r="M5" s="2"/>
      <x:c r="N5" s="2"/>
    </x:row>
    <x:row r="6" ht="65" customHeight="1">
      <x:c r="A6" s="2" t="str">
        <x:v>A0_SIM_20261023_233228_764</x:v>
      </x:c>
      <x:c r="B6" s="2" t="str">
        <x:v>A0</x:v>
      </x:c>
      <x:c r="C6" s="8" t="n">
        <x:v>46318.98087962963</x:v>
      </x:c>
      <x:c r="D6" s="2" t="str">
        <x:v>PASS</x:v>
      </x:c>
      <x:c r="E6" s="2" t="n">
        <x:v>14</x:v>
      </x:c>
      <x:c r="F6" s="2" t="n">
        <x:v>0</x:v>
      </x:c>
      <x:c r="G6" s="2" t="n">
        <x:v>0</x:v>
      </x:c>
      <x:c r="H6" s="2" t="str">
        <x:v>PASS</x:v>
      </x:c>
      <x:c r="I6" s="12" t="str">
        <x:v>47f427fec8763eff9d403245c91cf3ad9775b75e57ec266d913dfd7ee4682942</x:v>
      </x:c>
      <x:c r="J6" s="12" t="str">
        <x:v>Python: 50 KG / 50 E / 20 D; không phải RTL ACVP</x:v>
      </x:c>
      <x:c r="K6" s="12" t="str">
        <x:v>D:/ML_KEM_768_1024/09_reports/iterative_baseline/run_20261023_233228_764</x:v>
      </x:c>
      <x:c r="L6" s="2"/>
      <x:c r="M6" s="2"/>
      <x:c r="N6" s="2"/>
    </x:row>
    <x:row r="7" ht="65" customHeight="1">
      <x:c r="A7" s="2" t="str">
        <x:v>A1_SIM_20261024_014501_279</x:v>
      </x:c>
      <x:c r="B7" s="2" t="str">
        <x:v>A1</x:v>
      </x:c>
      <x:c r="C7" s="8" t="n">
        <x:v>46319.07292824074</x:v>
      </x:c>
      <x:c r="D7" s="2" t="str">
        <x:v>PASS</x:v>
      </x:c>
      <x:c r="E7" s="2" t="n">
        <x:v>18</x:v>
      </x:c>
      <x:c r="F7" s="2" t="n">
        <x:v>4</x:v>
      </x:c>
      <x:c r="G7" s="2" t="n">
        <x:v>2</x:v>
      </x:c>
      <x:c r="H7" s="2" t="str">
        <x:v>PASS</x:v>
      </x:c>
      <x:c r="I7" s="12" t="str">
        <x:v>47f427fec8763eff9d403245c91cf3ad9775b75e57ec266d913dfd7ee4682942</x:v>
      </x:c>
      <x:c r="J7" s="12" t="str">
        <x:v>Python: 50 KG / 50 E / 20 D; không phải RTL ACVP</x:v>
      </x:c>
      <x:c r="K7" s="12" t="str">
        <x:v>D:/ML_KEM_768_1024/09_reports/streaming_pingpong/run_20261024_014501_279</x:v>
      </x:c>
      <x:c r="L7" s="2"/>
      <x:c r="M7" s="2"/>
      <x:c r="N7" s="2"/>
    </x:row>
    <x:row r="8" ht="90" customHeight="1">
      <x:c r="A8" s="2" t="str">
        <x:v>A2_SIM_20261025_085959_024</x:v>
      </x:c>
      <x:c r="B8" s="2" t="str">
        <x:v>A2</x:v>
      </x:c>
      <x:c r="C8" s="8" t="n">
        <x:v>46320.37498842592</x:v>
      </x:c>
      <x:c r="D8" s="2" t="str">
        <x:v>PASS</x:v>
      </x:c>
      <x:c r="E8" s="2" t="n">
        <x:v>18</x:v>
      </x:c>
      <x:c r="F8" s="2" t="n">
        <x:v>4</x:v>
      </x:c>
      <x:c r="G8" s="2" t="n">
        <x:v>2</x:v>
      </x:c>
      <x:c r="H8" s="2" t="str">
        <x:v>PASS</x:v>
      </x:c>
      <x:c r="I8" s="12" t="str">
        <x:v>47f427fec8763eff9d403245c91cf3ad9775b75e57ec266d913dfd7ee4682942</x:v>
      </x:c>
      <x:c r="J8" s="12" t="str">
        <x:v>Python: 50 KG / 50 E / 20 D; không phải RTL ACVP</x:v>
      </x:c>
      <x:c r="K8" s="12" t="str">
        <x:v>D:/ML_KEM_768_1024/09_reports/continuous_banked/run_20261025_085959_024</x:v>
      </x:c>
      <x:c r="L8" s="2"/>
      <x:c r="M8" s="2"/>
      <x:c r="N8" s="2"/>
    </x:row>
    <x:row r="9" ht="90" customHeight="1">
      <x:c r="A9" s="2" t="str">
        <x:v>A3_SIM_20261024_060402_971</x:v>
      </x:c>
      <x:c r="B9" s="2" t="str">
        <x:v>A3</x:v>
      </x:c>
      <x:c r="C9" s="8" t="n">
        <x:v>46319.252800925926</x:v>
      </x:c>
      <x:c r="D9" s="2" t="str">
        <x:v>PASS</x:v>
      </x:c>
      <x:c r="E9" s="2" t="n">
        <x:v>17</x:v>
      </x:c>
      <x:c r="F9" s="2" t="n">
        <x:v>4</x:v>
      </x:c>
      <x:c r="G9" s="2" t="n">
        <x:v>2</x:v>
      </x:c>
      <x:c r="H9" s="2" t="str">
        <x:v>PASS</x:v>
      </x:c>
      <x:c r="I9" s="12" t="str">
        <x:v>47f427fec8763eff9d403245c91cf3ad9775b75e57ec266d913dfd7ee4682942</x:v>
      </x:c>
      <x:c r="J9" s="12" t="str">
        <x:v>Python: 50 KG / 50 E / 20 D; không phải RTL ACVP</x:v>
      </x:c>
      <x:c r="K9" s="12" t="str">
        <x:v>D:/ML_KEM_768_1024/09_reports/continuous_banked_cycle_opt/run_20261024_060402_971</x:v>
      </x:c>
      <x:c r="L9" s="2"/>
      <x:c r="M9" s="2"/>
      <x:c r="N9" s="2"/>
    </x:row>
    <x:row r="10" ht="90" customHeight="1">
      <x:c r="A10" s="2" t="str">
        <x:v>A4_SIM_20261025_060635_998</x:v>
      </x:c>
      <x:c r="B10" s="2" t="str">
        <x:v>A4</x:v>
      </x:c>
      <x:c r="C10" s="8" t="n">
        <x:v>46320.25457175926</x:v>
      </x:c>
      <x:c r="D10" s="2" t="str">
        <x:v>PASS</x:v>
      </x:c>
      <x:c r="E10" s="2" t="n">
        <x:v>18</x:v>
      </x:c>
      <x:c r="F10" s="2" t="n">
        <x:v>4</x:v>
      </x:c>
      <x:c r="G10" s="2" t="n">
        <x:v>2</x:v>
      </x:c>
      <x:c r="H10" s="2" t="str">
        <x:v>PASS</x:v>
      </x:c>
      <x:c r="I10" s="12" t="str">
        <x:v>47f427fec8763eff9d403245c91cf3ad9775b75e57ec266d913dfd7ee4682942</x:v>
      </x:c>
      <x:c r="J10" s="12" t="str">
        <x:v>Python: 50 KG / 50 E / 20 D; không phải RTL ACVP</x:v>
      </x:c>
      <x:c r="K10" s="12" t="str">
        <x:v>D:/ML_KEM_768_1024/09_reports/continuous_banked_cycle_opt/run_20261025_060635_998</x:v>
      </x:c>
      <x:c r="L10" s="2"/>
      <x:c r="M10" s="2"/>
      <x:c r="N10" s="2"/>
    </x:row>
    <x:row r="11" ht="65" customHeight="1">
      <x:c r="A11" s="2" t="str">
        <x:v>A5_SIM_20261024_012050_666</x:v>
      </x:c>
      <x:c r="B11" s="2" t="str">
        <x:v>A5</x:v>
      </x:c>
      <x:c r="C11" s="8" t="n">
        <x:v>46319.05613425926</x:v>
      </x:c>
      <x:c r="D11" s="2" t="str">
        <x:v>PASS</x:v>
      </x:c>
      <x:c r="E11" s="2" t="n">
        <x:v>17</x:v>
      </x:c>
      <x:c r="F11" s="2" t="n">
        <x:v>4</x:v>
      </x:c>
      <x:c r="G11" s="2" t="n">
        <x:v>2</x:v>
      </x:c>
      <x:c r="H11" s="2" t="str">
        <x:v>PASS</x:v>
      </x:c>
      <x:c r="I11" s="12" t="str">
        <x:v>47f427fec8763eff9d403245c91cf3ad9775b75e57ec266d913dfd7ee4682942</x:v>
      </x:c>
      <x:c r="J11" s="12" t="str">
        <x:v>Python: 50 KG / 50 E / 20 D; không phải RTL ACVP</x:v>
      </x:c>
      <x:c r="K11" s="12" t="str">
        <x:v>D:/ML_KEM_768_1024/09_reports/streaming_balanced_4bu/run_20261024_012050_666</x:v>
      </x:c>
      <x:c r="L11" s="2"/>
      <x:c r="M11" s="2"/>
      <x:c r="N11" s="2"/>
    </x:row>
    <x:row r="12" ht="70" customHeight="1">
      <x:c r="A12" s="12" t="str">
        <x:v>A2V2_SIM_CHO</x:v>
      </x:c>
      <x:c r="B12" s="12" t="str">
        <x:v>A2V2</x:v>
      </x:c>
      <x:c r="C12" s="12"/>
      <x:c r="D12" s="12" t="str">
        <x:v>Chưa xác nhận</x:v>
      </x:c>
      <x:c r="E12" s="12"/>
      <x:c r="F12" s="12"/>
      <x:c r="G12" s="12"/>
      <x:c r="H12" s="12"/>
      <x:c r="I12" s="12"/>
      <x:c r="J12" s="12" t="str">
        <x:v>Chưa tìm thấy regression khớp biến thể TRNG ver2</x:v>
      </x:c>
      <x:c r="K12" s="12"/>
      <x:c r="L12" s="2"/>
      <x:c r="M12" s="2"/>
      <x:c r="N12" s="2"/>
    </x:row>
    <x:row r="13" ht="70" customHeight="1">
      <x:c r="A13" s="12" t="str">
        <x:v>A2V3_SIM_CHO</x:v>
      </x:c>
      <x:c r="B13" s="12" t="str">
        <x:v>A2V3</x:v>
      </x:c>
      <x:c r="C13" s="12"/>
      <x:c r="D13" s="12" t="str">
        <x:v>Chưa xác nhận</x:v>
      </x:c>
      <x:c r="E13" s="12"/>
      <x:c r="F13" s="12"/>
      <x:c r="G13" s="12"/>
      <x:c r="H13" s="12"/>
      <x:c r="I13" s="12"/>
      <x:c r="J13" s="12" t="str">
        <x:v>Chưa tìm thấy regression khớp biến thể TRNG ver3</x:v>
      </x:c>
      <x:c r="K13" s="12"/>
      <x:c r="L13" s="2"/>
      <x:c r="M13" s="2"/>
      <x:c r="N13" s="2"/>
    </x:row>
    <x:row r="14" ht="90" customHeight="1">
      <x:c r="A14" s="12" t="str">
        <x:v>SB2_SIM_20261025_051014_757</x:v>
      </x:c>
      <x:c r="B14" s="12" t="str">
        <x:v>SB2</x:v>
      </x:c>
      <x:c r="C14" s="14" t="n">
        <x:v>46320.21543981481</x:v>
      </x:c>
      <x:c r="D14" s="12" t="str">
        <x:v>PASS</x:v>
      </x:c>
      <x:c r="E14" s="12" t="n">
        <x:v>17</x:v>
      </x:c>
      <x:c r="F14" s="12" t="n">
        <x:v>4</x:v>
      </x:c>
      <x:c r="G14" s="12" t="n">
        <x:v>2</x:v>
      </x:c>
      <x:c r="H14" s="12" t="str">
        <x:v>PASS</x:v>
      </x:c>
      <x:c r="I14" s="12" t="str">
        <x:v>47f427fec8763eff9d403245c91cf3ad9775b75e57ec266d913dfd7ee4682942</x:v>
      </x:c>
      <x:c r="J14" s="12" t="str">
        <x:v>Python: 50 KG / 50 E / 20 D; không phải RTL ACVP</x:v>
      </x:c>
      <x:c r="K14" s="12" t="str">
        <x:v>D:/ML_KEM_768_1024/09_reports/streaming_balanced_2bu/run_20261025_051014_757</x:v>
      </x:c>
      <x:c r="L14"/>
      <x:c r="M14" s="2"/>
      <x:c r="N14" s="2"/>
    </x:row>
    <x:row r="15" ht="90" customHeight="1">
      <x:c r="A15" s="12" t="str">
        <x:v>SB8_SIM_20261025_051014_919</x:v>
      </x:c>
      <x:c r="B15" s="12" t="str">
        <x:v>SB8</x:v>
      </x:c>
      <x:c r="C15" s="14" t="n">
        <x:v>46320.21543981481</x:v>
      </x:c>
      <x:c r="D15" s="12" t="str">
        <x:v>PASS</x:v>
      </x:c>
      <x:c r="E15" s="12" t="n">
        <x:v>17</x:v>
      </x:c>
      <x:c r="F15" s="12" t="n">
        <x:v>4</x:v>
      </x:c>
      <x:c r="G15" s="12" t="n">
        <x:v>2</x:v>
      </x:c>
      <x:c r="H15" s="12" t="str">
        <x:v>PASS</x:v>
      </x:c>
      <x:c r="I15" s="12" t="str">
        <x:v>47f427fec8763eff9d403245c91cf3ad9775b75e57ec266d913dfd7ee4682942</x:v>
      </x:c>
      <x:c r="J15" s="12" t="str">
        <x:v>Python: 50 KG / 50 E / 20 D; không phải RTL ACVP</x:v>
      </x:c>
      <x:c r="K15" s="12" t="str">
        <x:v>D:/ML_KEM_768_1024/09_reports/streaming_balanced_8bu/run_20261025_051014_919</x:v>
      </x:c>
      <x:c r="L15"/>
      <x:c r="M15" s="2"/>
      <x:c r="N15" s="2"/>
    </x:row>
    <x:row r="16" ht="15" customHeight="1">
      <x:c r="A16"/>
      <x:c r="B16"/>
      <x:c r="C16"/>
      <x:c r="D16"/>
      <x:c r="E16"/>
      <x:c r="F16"/>
      <x:c r="G16"/>
      <x:c r="H16"/>
      <x:c r="I16"/>
      <x:c r="J16"/>
      <x:c r="K16"/>
      <x:c r="L16"/>
      <x:c r="M16" s="2"/>
      <x:c r="N16" s="2"/>
    </x:row>
    <x:row r="17" ht="26" customHeight="1">
      <x:c r="A17" s="26" t="str">
        <x:v>Chu kỳ và quy đổi latency</x:v>
      </x:c>
      <x:c r="B17"/>
      <x:c r="C17"/>
      <x:c r="D17"/>
      <x:c r="E17"/>
      <x:c r="F17"/>
      <x:c r="G17"/>
      <x:c r="H17"/>
      <x:c r="I17"/>
      <x:c r="J17"/>
      <x:c r="K17"/>
      <x:c r="L17"/>
      <x:c r="M17" s="2"/>
      <x:c r="N17" s="2"/>
    </x:row>
    <x:row r="18" ht="15" customHeight="1">
      <x:c r="A18"/>
      <x:c r="B18"/>
      <x:c r="C18"/>
      <x:c r="D18"/>
      <x:c r="E18"/>
      <x:c r="F18"/>
      <x:c r="G18"/>
      <x:c r="H18"/>
      <x:c r="I18"/>
      <x:c r="J18"/>
      <x:c r="K18"/>
      <x:c r="L18"/>
      <x:c r="M18" s="2"/>
      <x:c r="N18" s="2"/>
    </x:row>
    <x:row r="19" ht="42" customHeight="1">
      <x:c r="A19" s="31" t="str">
        <x:v>Record ID</x:v>
      </x:c>
      <x:c r="B19" s="31" t="str">
        <x:v>Kiến trúc</x:v>
      </x:c>
      <x:c r="C19" s="31" t="str">
        <x:v>Sim ID</x:v>
      </x:c>
      <x:c r="D19" s="31" t="str">
        <x:v>Mode</x:v>
      </x:c>
      <x:c r="E19" s="31" t="str">
        <x:v>Phép toán</x:v>
      </x:c>
      <x:c r="F19" s="31" t="str">
        <x:v>Cycles</x:v>
      </x:c>
      <x:c r="G19" s="31" t="str">
        <x:v>Clock quy đổi (MHz)</x:v>
      </x:c>
      <x:c r="H19" s="31" t="str">
        <x:v>Latency (µs)</x:v>
      </x:c>
      <x:c r="I19" s="31" t="str">
        <x:v>A0 cycles tham chiếu</x:v>
      </x:c>
      <x:c r="J19" s="31" t="str">
        <x:v>Speedup chu kỳ</x:v>
      </x:c>
      <x:c r="K19" s="31" t="str">
        <x:v>Cơ sở clock</x:v>
      </x:c>
      <x:c r="L19" s="31" t="str">
        <x:v>Nguồn</x:v>
      </x:c>
      <x:c r="M19" s="2"/>
      <x:c r="N19" s="2"/>
    </x:row>
    <x:row r="20" ht="68" customHeight="1">
      <x:c r="A20" s="12" t="str">
        <x:v>A0_256 hệ số_NTT</x:v>
      </x:c>
      <x:c r="B20" s="12" t="str">
        <x:v>A0</x:v>
      </x:c>
      <x:c r="C20" s="12" t="str">
        <x:v>A0_SIM_20261023_233228_764</x:v>
      </x:c>
      <x:c r="D20" s="12" t="str">
        <x:v>256 hệ số</x:v>
      </x:c>
      <x:c r="E20" s="12" t="str">
        <x:v>NTT</x:v>
      </x:c>
      <x:c r="F20" s="15" t="n">
        <x:v>9984</x:v>
      </x:c>
      <x:c r="G20" s="12" t="n">
        <x:v>160</x:v>
      </x:c>
      <x:c r="H20" s="18" t="n">
        <x:f>IF(OR(F20="",G20="",G20&lt;=0),"",F20/G20)</x:f>
        <x:v>62.4</x:v>
      </x:c>
      <x:c r="I20" s="15" t="n">
        <x:f>IF(COUNTIFS($B$20:$B$219,"A0",$D$20:$D$219,D20,$E$20:$E$219,E20)&lt;&gt;1,"",SUMIFS($F$20:$F$219,$B$20:$B$219,"A0",$D$20:$D$219,D20,$E$20:$E$219,E20))</x:f>
        <x:v>9984</x:v>
      </x:c>
      <x:c r="J20" s="21" t="n">
        <x:f>IF(OR(I20="",F20="",F20&lt;=0),"",I20/F20)</x:f>
        <x:v>1</x:v>
      </x:c>
      <x:c r="K20" s="12" t="str">
        <x:v>160 MHz đạt STA theo SDC</x:v>
      </x:c>
      <x:c r="L20" s="12" t="str">
        <x:v>D:/ML_KEM_768_1024/09_reports/iterative_baseline/run_20261023_233228_764/tb_ntt_intt.log</x:v>
      </x:c>
      <x:c r="M20" s="2"/>
      <x:c r="N20" s="2"/>
    </x:row>
    <x:row r="21" ht="68" customHeight="1">
      <x:c r="A21" s="12" t="str">
        <x:v>A0_256 hệ số_INTT</x:v>
      </x:c>
      <x:c r="B21" s="12" t="str">
        <x:v>A0</x:v>
      </x:c>
      <x:c r="C21" s="12" t="str">
        <x:v>A0_SIM_20261023_233228_764</x:v>
      </x:c>
      <x:c r="D21" s="12" t="str">
        <x:v>256 hệ số</x:v>
      </x:c>
      <x:c r="E21" s="12" t="str">
        <x:v>INTT</x:v>
      </x:c>
      <x:c r="F21" s="15" t="n">
        <x:v>12800</x:v>
      </x:c>
      <x:c r="G21" s="12" t="n">
        <x:v>160</x:v>
      </x:c>
      <x:c r="H21" s="18" t="n">
        <x:f>IF(OR(F21="",G21="",G21&lt;=0),"",F21/G21)</x:f>
        <x:v>80</x:v>
      </x:c>
      <x:c r="I21" s="15" t="n">
        <x:f>IF(COUNTIFS($B$20:$B$219,"A0",$D$20:$D$219,D21,$E$20:$E$219,E21)&lt;&gt;1,"",SUMIFS($F$20:$F$219,$B$20:$B$219,"A0",$D$20:$D$219,D21,$E$20:$E$219,E21))</x:f>
        <x:v>12800</x:v>
      </x:c>
      <x:c r="J21" s="21" t="n">
        <x:f>IF(OR(I21="",F21="",F21&lt;=0),"",I21/F21)</x:f>
        <x:v>1</x:v>
      </x:c>
      <x:c r="K21" s="12" t="str">
        <x:v>160 MHz đạt STA theo SDC</x:v>
      </x:c>
      <x:c r="L21" s="12" t="str">
        <x:v>D:/ML_KEM_768_1024/09_reports/iterative_baseline/run_20261023_233228_764/tb_ntt_intt.log</x:v>
      </x:c>
      <x:c r="M21" s="2"/>
      <x:c r="N21" s="2"/>
    </x:row>
    <x:row r="22" ht="68" customHeight="1">
      <x:c r="A22" s="12" t="str">
        <x:v>A0_256 hệ số_MultiplyNTTs</x:v>
      </x:c>
      <x:c r="B22" s="12" t="str">
        <x:v>A0</x:v>
      </x:c>
      <x:c r="C22" s="12" t="str">
        <x:v>A0_SIM_20261023_233228_764</x:v>
      </x:c>
      <x:c r="D22" s="12" t="str">
        <x:v>256 hệ số</x:v>
      </x:c>
      <x:c r="E22" s="12" t="str">
        <x:v>MultiplyNTTs</x:v>
      </x:c>
      <x:c r="F22" s="15" t="n">
        <x:v>2433</x:v>
      </x:c>
      <x:c r="G22" s="12" t="n">
        <x:v>160</x:v>
      </x:c>
      <x:c r="H22" s="18" t="n">
        <x:f>IF(OR(F22="",G22="",G22&lt;=0),"",F22/G22)</x:f>
        <x:v>15.20625</x:v>
      </x:c>
      <x:c r="I22" s="15" t="n">
        <x:f>IF(COUNTIFS($B$20:$B$219,"A0",$D$20:$D$219,D22,$E$20:$E$219,E22)&lt;&gt;1,"",SUMIFS($F$20:$F$219,$B$20:$B$219,"A0",$D$20:$D$219,D22,$E$20:$E$219,E22))</x:f>
        <x:v>2433</x:v>
      </x:c>
      <x:c r="J22" s="21" t="n">
        <x:f>IF(OR(I22="",F22="",F22&lt;=0),"",I22/F22)</x:f>
        <x:v>1</x:v>
      </x:c>
      <x:c r="K22" s="12" t="str">
        <x:v>160 MHz đạt STA theo SDC</x:v>
      </x:c>
      <x:c r="L22" s="12" t="str">
        <x:v>D:/ML_KEM_768_1024/09_reports/iterative_baseline/run_20261023_233228_764/tb_multiply_ntts.log</x:v>
      </x:c>
      <x:c r="M22" s="2"/>
      <x:c r="N22" s="2"/>
    </x:row>
    <x:row r="23" ht="68" customHeight="1">
      <x:c r="A23" s="12" t="str">
        <x:v>A0_768_KeyGen</x:v>
      </x:c>
      <x:c r="B23" s="12" t="str">
        <x:v>A0</x:v>
      </x:c>
      <x:c r="C23" s="12" t="str">
        <x:v>A0_SIM_20261023_233228_764</x:v>
      </x:c>
      <x:c r="D23" s="12" t="str">
        <x:v>768</x:v>
      </x:c>
      <x:c r="E23" s="12" t="str">
        <x:v>KeyGen</x:v>
      </x:c>
      <x:c r="F23" s="15" t="n">
        <x:v>207580</x:v>
      </x:c>
      <x:c r="G23" s="12" t="n">
        <x:v>160</x:v>
      </x:c>
      <x:c r="H23" s="18" t="n">
        <x:f>IF(OR(F23="",G23="",G23&lt;=0),"",F23/G23)</x:f>
        <x:v>1297.375</x:v>
      </x:c>
      <x:c r="I23" s="15" t="n">
        <x:f>IF(COUNTIFS($B$20:$B$219,"A0",$D$20:$D$219,D23,$E$20:$E$219,E23)&lt;&gt;1,"",SUMIFS($F$20:$F$219,$B$20:$B$219,"A0",$D$20:$D$219,D23,$E$20:$E$219,E23))</x:f>
        <x:v>207580</x:v>
      </x:c>
      <x:c r="J23" s="21" t="n">
        <x:f>IF(OR(I23="",F23="",F23&lt;=0),"",I23/F23)</x:f>
        <x:v>1</x:v>
      </x:c>
      <x:c r="K23" s="12" t="str">
        <x:v>160 MHz đạt STA theo SDC</x:v>
      </x:c>
      <x:c r="L23" s="12" t="str">
        <x:v>D:/ML_KEM_768_1024/09_reports/iterative_baseline/run_20261023_233228_764/tb_mlkem_service_core.log</x:v>
      </x:c>
      <x:c r="M23" s="2"/>
      <x:c r="N23" s="2"/>
    </x:row>
    <x:row r="24" ht="68" customHeight="1">
      <x:c r="A24" s="12" t="str">
        <x:v>A0_768_Encaps</x:v>
      </x:c>
      <x:c r="B24" s="12" t="str">
        <x:v>A0</x:v>
      </x:c>
      <x:c r="C24" s="12" t="str">
        <x:v>A0_SIM_20261023_233228_764</x:v>
      </x:c>
      <x:c r="D24" s="12" t="str">
        <x:v>768</x:v>
      </x:c>
      <x:c r="E24" s="12" t="str">
        <x:v>Encaps</x:v>
      </x:c>
      <x:c r="F24" s="15" t="n">
        <x:v>263538</x:v>
      </x:c>
      <x:c r="G24" s="12" t="n">
        <x:v>160</x:v>
      </x:c>
      <x:c r="H24" s="18" t="n">
        <x:f>IF(OR(F24="",G24="",G24&lt;=0),"",F24/G24)</x:f>
        <x:v>1647.1125</x:v>
      </x:c>
      <x:c r="I24" s="15" t="n">
        <x:f>IF(COUNTIFS($B$20:$B$219,"A0",$D$20:$D$219,D24,$E$20:$E$219,E24)&lt;&gt;1,"",SUMIFS($F$20:$F$219,$B$20:$B$219,"A0",$D$20:$D$219,D24,$E$20:$E$219,E24))</x:f>
        <x:v>263538</x:v>
      </x:c>
      <x:c r="J24" s="21" t="n">
        <x:f>IF(OR(I24="",F24="",F24&lt;=0),"",I24/F24)</x:f>
        <x:v>1</x:v>
      </x:c>
      <x:c r="K24" s="12" t="str">
        <x:v>160 MHz đạt STA theo SDC</x:v>
      </x:c>
      <x:c r="L24" s="12" t="str">
        <x:v>D:/ML_KEM_768_1024/09_reports/iterative_baseline/run_20261023_233228_764/tb_mlkem_service_core.log</x:v>
      </x:c>
      <x:c r="M24" s="2"/>
      <x:c r="N24" s="2"/>
    </x:row>
    <x:row r="25" ht="68" customHeight="1">
      <x:c r="A25" s="12" t="str">
        <x:v>A0_768_Decaps</x:v>
      </x:c>
      <x:c r="B25" s="12" t="str">
        <x:v>A0</x:v>
      </x:c>
      <x:c r="C25" s="12" t="str">
        <x:v>A0_SIM_20261023_233228_764</x:v>
      </x:c>
      <x:c r="D25" s="12" t="str">
        <x:v>768</x:v>
      </x:c>
      <x:c r="E25" s="12" t="str">
        <x:v>Decaps</x:v>
      </x:c>
      <x:c r="F25" s="15" t="n">
        <x:v>362654</x:v>
      </x:c>
      <x:c r="G25" s="12" t="n">
        <x:v>160</x:v>
      </x:c>
      <x:c r="H25" s="18" t="n">
        <x:f>IF(OR(F25="",G25="",G25&lt;=0),"",F25/G25)</x:f>
        <x:v>2266.5875</x:v>
      </x:c>
      <x:c r="I25" s="15" t="n">
        <x:f>IF(COUNTIFS($B$20:$B$219,"A0",$D$20:$D$219,D25,$E$20:$E$219,E25)&lt;&gt;1,"",SUMIFS($F$20:$F$219,$B$20:$B$219,"A0",$D$20:$D$219,D25,$E$20:$E$219,E25))</x:f>
        <x:v>362654</x:v>
      </x:c>
      <x:c r="J25" s="21" t="n">
        <x:f>IF(OR(I25="",F25="",F25&lt;=0),"",I25/F25)</x:f>
        <x:v>1</x:v>
      </x:c>
      <x:c r="K25" s="12" t="str">
        <x:v>160 MHz đạt STA theo SDC</x:v>
      </x:c>
      <x:c r="L25" s="12" t="str">
        <x:v>D:/ML_KEM_768_1024/09_reports/iterative_baseline/run_20261023_233228_764/tb_mlkem_service_core.log</x:v>
      </x:c>
      <x:c r="M25" s="2"/>
      <x:c r="N25" s="2"/>
    </x:row>
    <x:row r="26" ht="68" customHeight="1">
      <x:c r="A26" s="12" t="str">
        <x:v>A0_1024_KeyGen</x:v>
      </x:c>
      <x:c r="B26" s="12" t="str">
        <x:v>A0</x:v>
      </x:c>
      <x:c r="C26" s="12" t="str">
        <x:v>A0_SIM_20261023_233228_764</x:v>
      </x:c>
      <x:c r="D26" s="12" t="str">
        <x:v>1024</x:v>
      </x:c>
      <x:c r="E26" s="12" t="str">
        <x:v>KeyGen</x:v>
      </x:c>
      <x:c r="F26" s="15" t="n">
        <x:v>319198</x:v>
      </x:c>
      <x:c r="G26" s="12" t="n">
        <x:v>160</x:v>
      </x:c>
      <x:c r="H26" s="18" t="n">
        <x:f>IF(OR(F26="",G26="",G26&lt;=0),"",F26/G26)</x:f>
        <x:v>1994.9875</x:v>
      </x:c>
      <x:c r="I26" s="15" t="n">
        <x:f>IF(COUNTIFS($B$20:$B$219,"A0",$D$20:$D$219,D26,$E$20:$E$219,E26)&lt;&gt;1,"",SUMIFS($F$20:$F$219,$B$20:$B$219,"A0",$D$20:$D$219,D26,$E$20:$E$219,E26))</x:f>
        <x:v>319198</x:v>
      </x:c>
      <x:c r="J26" s="21" t="n">
        <x:f>IF(OR(I26="",F26="",F26&lt;=0),"",I26/F26)</x:f>
        <x:v>1</x:v>
      </x:c>
      <x:c r="K26" s="12" t="str">
        <x:v>160 MHz đạt STA theo SDC</x:v>
      </x:c>
      <x:c r="L26" s="12" t="str">
        <x:v>D:/ML_KEM_768_1024/09_reports/iterative_baseline/run_20261023_233228_764/tb_mlkem_service_core.log</x:v>
      </x:c>
      <x:c r="M26" s="2"/>
      <x:c r="N26" s="2"/>
    </x:row>
    <x:row r="27" ht="68" customHeight="1">
      <x:c r="A27" s="12" t="str">
        <x:v>A0_1024_Encaps</x:v>
      </x:c>
      <x:c r="B27" s="12" t="str">
        <x:v>A0</x:v>
      </x:c>
      <x:c r="C27" s="12" t="str">
        <x:v>A0_SIM_20261023_233228_764</x:v>
      </x:c>
      <x:c r="D27" s="12" t="str">
        <x:v>1024</x:v>
      </x:c>
      <x:c r="E27" s="12" t="str">
        <x:v>Encaps</x:v>
      </x:c>
      <x:c r="F27" s="15" t="n">
        <x:v>386366</x:v>
      </x:c>
      <x:c r="G27" s="12" t="n">
        <x:v>160</x:v>
      </x:c>
      <x:c r="H27" s="18" t="n">
        <x:f>IF(OR(F27="",G27="",G27&lt;=0),"",F27/G27)</x:f>
        <x:v>2414.7875</x:v>
      </x:c>
      <x:c r="I27" s="15" t="n">
        <x:f>IF(COUNTIFS($B$20:$B$219,"A0",$D$20:$D$219,D27,$E$20:$E$219,E27)&lt;&gt;1,"",SUMIFS($F$20:$F$219,$B$20:$B$219,"A0",$D$20:$D$219,D27,$E$20:$E$219,E27))</x:f>
        <x:v>386366</x:v>
      </x:c>
      <x:c r="J27" s="21" t="n">
        <x:f>IF(OR(I27="",F27="",F27&lt;=0),"",I27/F27)</x:f>
        <x:v>1</x:v>
      </x:c>
      <x:c r="K27" s="12" t="str">
        <x:v>160 MHz đạt STA theo SDC</x:v>
      </x:c>
      <x:c r="L27" s="12" t="str">
        <x:v>D:/ML_KEM_768_1024/09_reports/iterative_baseline/run_20261023_233228_764/tb_mlkem_service_core.log</x:v>
      </x:c>
      <x:c r="M27" s="2"/>
      <x:c r="N27" s="2"/>
    </x:row>
    <x:row r="28" ht="68" customHeight="1">
      <x:c r="A28" s="12" t="str">
        <x:v>A0_1024_Decaps</x:v>
      </x:c>
      <x:c r="B28" s="12" t="str">
        <x:v>A0</x:v>
      </x:c>
      <x:c r="C28" s="12" t="str">
        <x:v>A0_SIM_20261023_233228_764</x:v>
      </x:c>
      <x:c r="D28" s="12" t="str">
        <x:v>1024</x:v>
      </x:c>
      <x:c r="E28" s="12" t="str">
        <x:v>Decaps</x:v>
      </x:c>
      <x:c r="F28" s="15" t="n">
        <x:v>512312</x:v>
      </x:c>
      <x:c r="G28" s="12" t="n">
        <x:v>160</x:v>
      </x:c>
      <x:c r="H28" s="18" t="n">
        <x:f>IF(OR(F28="",G28="",G28&lt;=0),"",F28/G28)</x:f>
        <x:v>3201.95</x:v>
      </x:c>
      <x:c r="I28" s="15" t="n">
        <x:f>IF(COUNTIFS($B$20:$B$219,"A0",$D$20:$D$219,D28,$E$20:$E$219,E28)&lt;&gt;1,"",SUMIFS($F$20:$F$219,$B$20:$B$219,"A0",$D$20:$D$219,D28,$E$20:$E$219,E28))</x:f>
        <x:v>512312</x:v>
      </x:c>
      <x:c r="J28" s="21" t="n">
        <x:f>IF(OR(I28="",F28="",F28&lt;=0),"",I28/F28)</x:f>
        <x:v>1</x:v>
      </x:c>
      <x:c r="K28" s="12" t="str">
        <x:v>160 MHz đạt STA theo SDC</x:v>
      </x:c>
      <x:c r="L28" s="12" t="str">
        <x:v>D:/ML_KEM_768_1024/09_reports/iterative_baseline/run_20261023_233228_764/tb_mlkem_service_core.log</x:v>
      </x:c>
      <x:c r="M28" s="2"/>
      <x:c r="N28" s="2"/>
    </x:row>
    <x:row r="29" ht="68" customHeight="1">
      <x:c r="A29" s="12" t="str">
        <x:v>A1_256 hệ số_NTT</x:v>
      </x:c>
      <x:c r="B29" s="12" t="str">
        <x:v>A1</x:v>
      </x:c>
      <x:c r="C29" s="12" t="str">
        <x:v>A1_SIM_20261024_014501_279</x:v>
      </x:c>
      <x:c r="D29" s="12" t="str">
        <x:v>256 hệ số</x:v>
      </x:c>
      <x:c r="E29" s="12" t="str">
        <x:v>NTT</x:v>
      </x:c>
      <x:c r="F29" s="15" t="n">
        <x:v>981</x:v>
      </x:c>
      <x:c r="G29" s="12" t="n">
        <x:v>160</x:v>
      </x:c>
      <x:c r="H29" s="18" t="n">
        <x:f>IF(OR(F29="",G29="",G29&lt;=0),"",F29/G29)</x:f>
        <x:v>6.13125</x:v>
      </x:c>
      <x:c r="I29" s="15" t="n">
        <x:f>IF(COUNTIFS($B$20:$B$219,"A0",$D$20:$D$219,D29,$E$20:$E$219,E29)&lt;&gt;1,"",SUMIFS($F$20:$F$219,$B$20:$B$219,"A0",$D$20:$D$219,D29,$E$20:$E$219,E29))</x:f>
        <x:v>9984</x:v>
      </x:c>
      <x:c r="J29" s="21" t="n">
        <x:f>IF(OR(I29="",F29="",F29&lt;=0),"",I29/F29)</x:f>
        <x:v>10.17737003058104</x:v>
      </x:c>
      <x:c r="K29" s="12" t="str">
        <x:v>160 MHz đạt STA; chu kỳ từ regression cũ, 33/33 RTL khớp regression</x:v>
      </x:c>
      <x:c r="L29" s="12" t="str">
        <x:v>D:/ML_KEM_768_1024/09_reports/streaming_pingpong/run_20261024_014501_279/tb_ntt_intt.log</x:v>
      </x:c>
      <x:c r="M29" s="2"/>
      <x:c r="N29" s="2"/>
    </x:row>
    <x:row r="30" ht="68" customHeight="1">
      <x:c r="A30" s="12" t="str">
        <x:v>A1_256 hệ số_INTT</x:v>
      </x:c>
      <x:c r="B30" s="12" t="str">
        <x:v>A1</x:v>
      </x:c>
      <x:c r="C30" s="12" t="str">
        <x:v>A1_SIM_20261024_014501_279</x:v>
      </x:c>
      <x:c r="D30" s="12" t="str">
        <x:v>256 hệ số</x:v>
      </x:c>
      <x:c r="E30" s="12" t="str">
        <x:v>INTT</x:v>
      </x:c>
      <x:c r="F30" s="15" t="n">
        <x:v>981</x:v>
      </x:c>
      <x:c r="G30" s="12" t="n">
        <x:v>160</x:v>
      </x:c>
      <x:c r="H30" s="18" t="n">
        <x:f>IF(OR(F30="",G30="",G30&lt;=0),"",F30/G30)</x:f>
        <x:v>6.13125</x:v>
      </x:c>
      <x:c r="I30" s="15" t="n">
        <x:f>IF(COUNTIFS($B$20:$B$219,"A0",$D$20:$D$219,D30,$E$20:$E$219,E30)&lt;&gt;1,"",SUMIFS($F$20:$F$219,$B$20:$B$219,"A0",$D$20:$D$219,D30,$E$20:$E$219,E30))</x:f>
        <x:v>12800</x:v>
      </x:c>
      <x:c r="J30" s="21" t="n">
        <x:f>IF(OR(I30="",F30="",F30&lt;=0),"",I30/F30)</x:f>
        <x:v>13.047910295616717</x:v>
      </x:c>
      <x:c r="K30" s="12" t="str">
        <x:v>160 MHz đạt STA; chu kỳ từ regression cũ, 33/33 RTL khớp regression</x:v>
      </x:c>
      <x:c r="L30" s="12" t="str">
        <x:v>D:/ML_KEM_768_1024/09_reports/streaming_pingpong/run_20261024_014501_279/tb_ntt_intt.log</x:v>
      </x:c>
      <x:c r="M30" s="2"/>
      <x:c r="N30" s="2"/>
    </x:row>
    <x:row r="31" ht="68" customHeight="1">
      <x:c r="A31" s="12" t="str">
        <x:v>A1_256 hệ số_MultiplyNTTs</x:v>
      </x:c>
      <x:c r="B31" s="12" t="str">
        <x:v>A1</x:v>
      </x:c>
      <x:c r="C31" s="12" t="str">
        <x:v>A1_SIM_20261024_014501_279</x:v>
      </x:c>
      <x:c r="D31" s="12" t="str">
        <x:v>256 hệ số</x:v>
      </x:c>
      <x:c r="E31" s="12" t="str">
        <x:v>MultiplyNTTs</x:v>
      </x:c>
      <x:c r="F31" s="15" t="n">
        <x:v>145</x:v>
      </x:c>
      <x:c r="G31" s="12" t="n">
        <x:v>160</x:v>
      </x:c>
      <x:c r="H31" s="18" t="n">
        <x:f>IF(OR(F31="",G31="",G31&lt;=0),"",F31/G31)</x:f>
        <x:v>0.90625</x:v>
      </x:c>
      <x:c r="I31" s="15" t="n">
        <x:f>IF(COUNTIFS($B$20:$B$219,"A0",$D$20:$D$219,D31,$E$20:$E$219,E31)&lt;&gt;1,"",SUMIFS($F$20:$F$219,$B$20:$B$219,"A0",$D$20:$D$219,D31,$E$20:$E$219,E31))</x:f>
        <x:v>2433</x:v>
      </x:c>
      <x:c r="J31" s="21" t="n">
        <x:f>IF(OR(I31="",F31="",F31&lt;=0),"",I31/F31)</x:f>
        <x:v>16.779310344827586</x:v>
      </x:c>
      <x:c r="K31" s="12" t="str">
        <x:v>160 MHz đạt STA; chu kỳ từ regression cũ, 33/33 RTL khớp regression</x:v>
      </x:c>
      <x:c r="L31" s="12" t="str">
        <x:v>D:/ML_KEM_768_1024/09_reports/streaming_pingpong/run_20261024_014501_279/tb_multiply_ntts.log</x:v>
      </x:c>
      <x:c r="M31" s="2"/>
      <x:c r="N31" s="2"/>
    </x:row>
    <x:row r="32" ht="68" customHeight="1">
      <x:c r="A32" s="12" t="str">
        <x:v>A1_768_KeyGen</x:v>
      </x:c>
      <x:c r="B32" s="12" t="str">
        <x:v>A1</x:v>
      </x:c>
      <x:c r="C32" s="12" t="str">
        <x:v>A1_SIM_20261024_014501_279</x:v>
      </x:c>
      <x:c r="D32" s="12" t="str">
        <x:v>768</x:v>
      </x:c>
      <x:c r="E32" s="12" t="str">
        <x:v>KeyGen</x:v>
      </x:c>
      <x:c r="F32" s="15" t="n">
        <x:v>132970</x:v>
      </x:c>
      <x:c r="G32" s="12" t="n">
        <x:v>160</x:v>
      </x:c>
      <x:c r="H32" s="18" t="n">
        <x:f>IF(OR(F32="",G32="",G32&lt;=0),"",F32/G32)</x:f>
        <x:v>831.0625</x:v>
      </x:c>
      <x:c r="I32" s="15" t="n">
        <x:f>IF(COUNTIFS($B$20:$B$219,"A0",$D$20:$D$219,D32,$E$20:$E$219,E32)&lt;&gt;1,"",SUMIFS($F$20:$F$219,$B$20:$B$219,"A0",$D$20:$D$219,D32,$E$20:$E$219,E32))</x:f>
        <x:v>207580</x:v>
      </x:c>
      <x:c r="J32" s="21" t="n">
        <x:f>IF(OR(I32="",F32="",F32&lt;=0),"",I32/F32)</x:f>
        <x:v>1.5611040084229526</x:v>
      </x:c>
      <x:c r="K32" s="12" t="str">
        <x:v>160 MHz đạt STA; chu kỳ từ regression cũ, 33/33 RTL khớp regression</x:v>
      </x:c>
      <x:c r="L32" s="12" t="str">
        <x:v>D:/ML_KEM_768_1024/09_reports/streaming_pingpong/run_20261024_014501_279/tb_mlkem_service_core.log</x:v>
      </x:c>
      <x:c r="M32" s="2"/>
      <x:c r="N32" s="2"/>
    </x:row>
    <x:row r="33" ht="68" customHeight="1">
      <x:c r="A33" s="12" t="str">
        <x:v>A1_768_Encaps</x:v>
      </x:c>
      <x:c r="B33" s="12" t="str">
        <x:v>A1</x:v>
      </x:c>
      <x:c r="C33" s="12" t="str">
        <x:v>A1_SIM_20261024_014501_279</x:v>
      </x:c>
      <x:c r="D33" s="12" t="str">
        <x:v>768</x:v>
      </x:c>
      <x:c r="E33" s="12" t="str">
        <x:v>Encaps</x:v>
      </x:c>
      <x:c r="F33" s="15" t="n">
        <x:v>161797</x:v>
      </x:c>
      <x:c r="G33" s="12" t="n">
        <x:v>160</x:v>
      </x:c>
      <x:c r="H33" s="18" t="n">
        <x:f>IF(OR(F33="",G33="",G33&lt;=0),"",F33/G33)</x:f>
        <x:v>1011.23125</x:v>
      </x:c>
      <x:c r="I33" s="15" t="n">
        <x:f>IF(COUNTIFS($B$20:$B$219,"A0",$D$20:$D$219,D33,$E$20:$E$219,E33)&lt;&gt;1,"",SUMIFS($F$20:$F$219,$B$20:$B$219,"A0",$D$20:$D$219,D33,$E$20:$E$219,E33))</x:f>
        <x:v>263538</x:v>
      </x:c>
      <x:c r="J33" s="21" t="n">
        <x:f>IF(OR(I33="",F33="",F33&lt;=0),"",I33/F33)</x:f>
        <x:v>1.6288188285320495</x:v>
      </x:c>
      <x:c r="K33" s="12" t="str">
        <x:v>160 MHz đạt STA; chu kỳ từ regression cũ, 33/33 RTL khớp regression</x:v>
      </x:c>
      <x:c r="L33" s="12" t="str">
        <x:v>D:/ML_KEM_768_1024/09_reports/streaming_pingpong/run_20261024_014501_279/tb_mlkem_service_core.log</x:v>
      </x:c>
      <x:c r="M33" s="2"/>
      <x:c r="N33" s="2"/>
    </x:row>
    <x:row r="34" ht="68" customHeight="1">
      <x:c r="A34" s="12" t="str">
        <x:v>A1_768_Decaps</x:v>
      </x:c>
      <x:c r="B34" s="12" t="str">
        <x:v>A1</x:v>
      </x:c>
      <x:c r="C34" s="12" t="str">
        <x:v>A1_SIM_20261024_014501_279</x:v>
      </x:c>
      <x:c r="D34" s="12" t="str">
        <x:v>768</x:v>
      </x:c>
      <x:c r="E34" s="12" t="str">
        <x:v>Decaps</x:v>
      </x:c>
      <x:c r="F34" s="15" t="n">
        <x:v>215221</x:v>
      </x:c>
      <x:c r="G34" s="12" t="n">
        <x:v>160</x:v>
      </x:c>
      <x:c r="H34" s="18" t="n">
        <x:f>IF(OR(F34="",G34="",G34&lt;=0),"",F34/G34)</x:f>
        <x:v>1345.13125</x:v>
      </x:c>
      <x:c r="I34" s="15" t="n">
        <x:f>IF(COUNTIFS($B$20:$B$219,"A0",$D$20:$D$219,D34,$E$20:$E$219,E34)&lt;&gt;1,"",SUMIFS($F$20:$F$219,$B$20:$B$219,"A0",$D$20:$D$219,D34,$E$20:$E$219,E34))</x:f>
        <x:v>362654</x:v>
      </x:c>
      <x:c r="J34" s="21" t="n">
        <x:f>IF(OR(I34="",F34="",F34&lt;=0),"",I34/F34)</x:f>
        <x:v>1.6850307358482677</x:v>
      </x:c>
      <x:c r="K34" s="12" t="str">
        <x:v>160 MHz đạt STA; chu kỳ từ regression cũ, 33/33 RTL khớp regression</x:v>
      </x:c>
      <x:c r="L34" s="12" t="str">
        <x:v>D:/ML_KEM_768_1024/09_reports/streaming_pingpong/run_20261024_014501_279/tb_mlkem_service_core.log</x:v>
      </x:c>
      <x:c r="M34" s="2"/>
      <x:c r="N34" s="2"/>
    </x:row>
    <x:row r="35" ht="68" customHeight="1">
      <x:c r="A35" s="12" t="str">
        <x:v>A1_1024_KeyGen</x:v>
      </x:c>
      <x:c r="B35" s="12" t="str">
        <x:v>A1</x:v>
      </x:c>
      <x:c r="C35" s="12" t="str">
        <x:v>A1_SIM_20261024_014501_279</x:v>
      </x:c>
      <x:c r="D35" s="12" t="str">
        <x:v>1024</x:v>
      </x:c>
      <x:c r="E35" s="12" t="str">
        <x:v>KeyGen</x:v>
      </x:c>
      <x:c r="F35" s="15" t="n">
        <x:v>210566</x:v>
      </x:c>
      <x:c r="G35" s="12" t="n">
        <x:v>160</x:v>
      </x:c>
      <x:c r="H35" s="18" t="n">
        <x:f>IF(OR(F35="",G35="",G35&lt;=0),"",F35/G35)</x:f>
        <x:v>1316.0375</x:v>
      </x:c>
      <x:c r="I35" s="15" t="n">
        <x:f>IF(COUNTIFS($B$20:$B$219,"A0",$D$20:$D$219,D35,$E$20:$E$219,E35)&lt;&gt;1,"",SUMIFS($F$20:$F$219,$B$20:$B$219,"A0",$D$20:$D$219,D35,$E$20:$E$219,E35))</x:f>
        <x:v>319198</x:v>
      </x:c>
      <x:c r="J35" s="21" t="n">
        <x:f>IF(OR(I35="",F35="",F35&lt;=0),"",I35/F35)</x:f>
        <x:v>1.5159047519542566</x:v>
      </x:c>
      <x:c r="K35" s="12" t="str">
        <x:v>160 MHz đạt STA; chu kỳ từ regression cũ, 33/33 RTL khớp regression</x:v>
      </x:c>
      <x:c r="L35" s="12" t="str">
        <x:v>D:/ML_KEM_768_1024/09_reports/streaming_pingpong/run_20261024_014501_279/tb_mlkem_service_core.log</x:v>
      </x:c>
      <x:c r="M35" s="2"/>
      <x:c r="N35" s="2"/>
    </x:row>
    <x:row r="36" ht="68" customHeight="1">
      <x:c r="A36" s="12" t="str">
        <x:v>A1_1024_Encaps</x:v>
      </x:c>
      <x:c r="B36" s="12" t="str">
        <x:v>A1</x:v>
      </x:c>
      <x:c r="C36" s="12" t="str">
        <x:v>A1_SIM_20261024_014501_279</x:v>
      </x:c>
      <x:c r="D36" s="12" t="str">
        <x:v>1024</x:v>
      </x:c>
      <x:c r="E36" s="12" t="str">
        <x:v>Encaps</x:v>
      </x:c>
      <x:c r="F36" s="15" t="n">
        <x:v>245499</x:v>
      </x:c>
      <x:c r="G36" s="12" t="n">
        <x:v>160</x:v>
      </x:c>
      <x:c r="H36" s="18" t="n">
        <x:f>IF(OR(F36="",G36="",G36&lt;=0),"",F36/G36)</x:f>
        <x:v>1534.36875</x:v>
      </x:c>
      <x:c r="I36" s="15" t="n">
        <x:f>IF(COUNTIFS($B$20:$B$219,"A0",$D$20:$D$219,D36,$E$20:$E$219,E36)&lt;&gt;1,"",SUMIFS($F$20:$F$219,$B$20:$B$219,"A0",$D$20:$D$219,D36,$E$20:$E$219,E36))</x:f>
        <x:v>386366</x:v>
      </x:c>
      <x:c r="J36" s="21" t="n">
        <x:f>IF(OR(I36="",F36="",F36&lt;=0),"",I36/F36)</x:f>
        <x:v>1.5737986712776835</x:v>
      </x:c>
      <x:c r="K36" s="12" t="str">
        <x:v>160 MHz đạt STA; chu kỳ từ regression cũ, 33/33 RTL khớp regression</x:v>
      </x:c>
      <x:c r="L36" s="12" t="str">
        <x:v>D:/ML_KEM_768_1024/09_reports/streaming_pingpong/run_20261024_014501_279/tb_mlkem_service_core.log</x:v>
      </x:c>
      <x:c r="M36" s="2"/>
      <x:c r="N36" s="2"/>
    </x:row>
    <x:row r="37" ht="68" customHeight="1">
      <x:c r="A37" s="12" t="str">
        <x:v>A1_1024_Decaps</x:v>
      </x:c>
      <x:c r="B37" s="12" t="str">
        <x:v>A1</x:v>
      </x:c>
      <x:c r="C37" s="12" t="str">
        <x:v>A1_SIM_20261024_014501_279</x:v>
      </x:c>
      <x:c r="D37" s="12" t="str">
        <x:v>1024</x:v>
      </x:c>
      <x:c r="E37" s="12" t="str">
        <x:v>Decaps</x:v>
      </x:c>
      <x:c r="F37" s="15" t="n">
        <x:v>314462</x:v>
      </x:c>
      <x:c r="G37" s="12" t="n">
        <x:v>160</x:v>
      </x:c>
      <x:c r="H37" s="18" t="n">
        <x:f>IF(OR(F37="",G37="",G37&lt;=0),"",F37/G37)</x:f>
        <x:v>1965.3875</x:v>
      </x:c>
      <x:c r="I37" s="15" t="n">
        <x:f>IF(COUNTIFS($B$20:$B$219,"A0",$D$20:$D$219,D37,$E$20:$E$219,E37)&lt;&gt;1,"",SUMIFS($F$20:$F$219,$B$20:$B$219,"A0",$D$20:$D$219,D37,$E$20:$E$219,E37))</x:f>
        <x:v>512312</x:v>
      </x:c>
      <x:c r="J37" s="21" t="n">
        <x:f>IF(OR(I37="",F37="",F37&lt;=0),"",I37/F37)</x:f>
        <x:v>1.6291698202008509</x:v>
      </x:c>
      <x:c r="K37" s="12" t="str">
        <x:v>160 MHz đạt STA; chu kỳ từ regression cũ, 33/33 RTL khớp regression</x:v>
      </x:c>
      <x:c r="L37" s="12" t="str">
        <x:v>D:/ML_KEM_768_1024/09_reports/streaming_pingpong/run_20261024_014501_279/tb_mlkem_service_core.log</x:v>
      </x:c>
      <x:c r="M37" s="2"/>
      <x:c r="N37" s="2"/>
    </x:row>
    <x:row r="38" ht="68" customHeight="1">
      <x:c r="A38" s="12" t="str">
        <x:v>A2_SIM_20261025_060103_737</x:v>
      </x:c>
      <x:c r="B38" s="12" t="str">
        <x:v>A2</x:v>
      </x:c>
      <x:c r="C38" s="12" t="str">
        <x:v>A2_SIM_20261025_085959_024</x:v>
      </x:c>
      <x:c r="D38" s="12" t="str">
        <x:v>256 hệ số</x:v>
      </x:c>
      <x:c r="E38" s="12" t="str">
        <x:v>NTT</x:v>
      </x:c>
      <x:c r="F38" s="15" t="n">
        <x:v>905</x:v>
      </x:c>
      <x:c r="G38" s="12" t="n">
        <x:v>160</x:v>
      </x:c>
      <x:c r="H38" s="18" t="n">
        <x:f>IF(OR(F38="",G38="",G38&lt;=0),"",F38/G38)</x:f>
        <x:v>5.65625</x:v>
      </x:c>
      <x:c r="I38" s="15" t="n">
        <x:f>IF(COUNTIFS($B$20:$B$219,"A0",$D$20:$D$219,D38,$E$20:$E$219,E38)&lt;&gt;1,"",SUMIFS($F$20:$F$219,$B$20:$B$219,"A0",$D$20:$D$219,D38,$E$20:$E$219,E38))</x:f>
        <x:v>9984</x:v>
      </x:c>
      <x:c r="J38" s="21" t="n">
        <x:f>IF(OR(I38="",F38="",F38&lt;=0),"",I38/F38)</x:f>
        <x:v>11.032044198895028</x:v>
      </x:c>
      <x:c r="K38" s="12" t="str">
        <x:v>160 MHz mục tiêu; setup min −0,051 ns tại Slow 0°C. Chưa đạt đầy đủ timing.</x:v>
      </x:c>
      <x:c r="L38" s="12" t="str">
        <x:v>D:/ML_KEM_768_1024/09_reports/continuous_banked/run_20261025_085959_024/tb_ntt_intt.log</x:v>
      </x:c>
      <x:c r="M38" s="2"/>
      <x:c r="N38" s="2"/>
    </x:row>
    <x:row r="39" ht="68" customHeight="1">
      <x:c r="A39" s="12" t="str">
        <x:v>A2_SIM_20261025_060103_737</x:v>
      </x:c>
      <x:c r="B39" s="12" t="str">
        <x:v>A2</x:v>
      </x:c>
      <x:c r="C39" s="12" t="str">
        <x:v>A2_SIM_20261025_085959_024</x:v>
      </x:c>
      <x:c r="D39" s="12" t="str">
        <x:v>256 hệ số</x:v>
      </x:c>
      <x:c r="E39" s="12" t="str">
        <x:v>INTT</x:v>
      </x:c>
      <x:c r="F39" s="15" t="n">
        <x:v>905</x:v>
      </x:c>
      <x:c r="G39" s="12" t="n">
        <x:v>160</x:v>
      </x:c>
      <x:c r="H39" s="18" t="n">
        <x:f>IF(OR(F39="",G39="",G39&lt;=0),"",F39/G39)</x:f>
        <x:v>5.65625</x:v>
      </x:c>
      <x:c r="I39" s="15" t="n">
        <x:f>IF(COUNTIFS($B$20:$B$219,"A0",$D$20:$D$219,D39,$E$20:$E$219,E39)&lt;&gt;1,"",SUMIFS($F$20:$F$219,$B$20:$B$219,"A0",$D$20:$D$219,D39,$E$20:$E$219,E39))</x:f>
        <x:v>12800</x:v>
      </x:c>
      <x:c r="J39" s="21" t="n">
        <x:f>IF(OR(I39="",F39="",F39&lt;=0),"",I39/F39)</x:f>
        <x:v>14.143646408839778</x:v>
      </x:c>
      <x:c r="K39" s="12" t="str">
        <x:v>160 MHz mục tiêu; setup min −0,051 ns tại Slow 0°C. Chưa đạt đầy đủ timing.</x:v>
      </x:c>
      <x:c r="L39" s="12" t="str">
        <x:v>D:/ML_KEM_768_1024/09_reports/continuous_banked/run_20261025_085959_024/tb_ntt_intt.log</x:v>
      </x:c>
      <x:c r="M39" s="2"/>
      <x:c r="N39" s="2"/>
    </x:row>
    <x:row r="40" ht="68" customHeight="1">
      <x:c r="A40" s="12" t="str">
        <x:v>A2_SIM_20261025_060103_737</x:v>
      </x:c>
      <x:c r="B40" s="12" t="str">
        <x:v>A2</x:v>
      </x:c>
      <x:c r="C40" s="12" t="str">
        <x:v>A2_SIM_20261025_085959_024</x:v>
      </x:c>
      <x:c r="D40" s="12" t="str">
        <x:v>256 hệ số</x:v>
      </x:c>
      <x:c r="E40" s="12" t="str">
        <x:v>MultiplyNTTs</x:v>
      </x:c>
      <x:c r="F40" s="15" t="n">
        <x:v>143</x:v>
      </x:c>
      <x:c r="G40" s="12" t="n">
        <x:v>160</x:v>
      </x:c>
      <x:c r="H40" s="18" t="n">
        <x:f>IF(OR(F40="",G40="",G40&lt;=0),"",F40/G40)</x:f>
        <x:v>0.89375</x:v>
      </x:c>
      <x:c r="I40" s="15" t="n">
        <x:f>IF(COUNTIFS($B$20:$B$219,"A0",$D$20:$D$219,D40,$E$20:$E$219,E40)&lt;&gt;1,"",SUMIFS($F$20:$F$219,$B$20:$B$219,"A0",$D$20:$D$219,D40,$E$20:$E$219,E40))</x:f>
        <x:v>2433</x:v>
      </x:c>
      <x:c r="J40" s="21" t="n">
        <x:f>IF(OR(I40="",F40="",F40&lt;=0),"",I40/F40)</x:f>
        <x:v>17.013986013986013</x:v>
      </x:c>
      <x:c r="K40" s="12" t="str">
        <x:v>160 MHz mục tiêu; setup min −0,051 ns tại Slow 0°C. Chưa đạt đầy đủ timing.</x:v>
      </x:c>
      <x:c r="L40" s="12" t="str">
        <x:v>D:/ML_KEM_768_1024/09_reports/continuous_banked/run_20261025_085959_024/tb_multiply_ntts.log</x:v>
      </x:c>
      <x:c r="M40" s="2"/>
      <x:c r="N40" s="2"/>
    </x:row>
    <x:row r="41" ht="68" customHeight="1">
      <x:c r="A41" s="12" t="str">
        <x:v>A2_SIM_20261025_060103_737</x:v>
      </x:c>
      <x:c r="B41" s="12" t="str">
        <x:v>A2</x:v>
      </x:c>
      <x:c r="C41" s="12" t="str">
        <x:v>A2_SIM_20261025_085959_024</x:v>
      </x:c>
      <x:c r="D41" s="12" t="str">
        <x:v>768</x:v>
      </x:c>
      <x:c r="E41" s="12" t="str">
        <x:v>KeyGen</x:v>
      </x:c>
      <x:c r="F41" s="15" t="n">
        <x:v>80864</x:v>
      </x:c>
      <x:c r="G41" s="12" t="n">
        <x:v>160</x:v>
      </x:c>
      <x:c r="H41" s="18" t="n">
        <x:f>IF(OR(F41="",G41="",G41&lt;=0),"",F41/G41)</x:f>
        <x:v>505.4</x:v>
      </x:c>
      <x:c r="I41" s="15" t="n">
        <x:f>IF(COUNTIFS($B$20:$B$219,"A0",$D$20:$D$219,D41,$E$20:$E$219,E41)&lt;&gt;1,"",SUMIFS($F$20:$F$219,$B$20:$B$219,"A0",$D$20:$D$219,D41,$E$20:$E$219,E41))</x:f>
        <x:v>207580</x:v>
      </x:c>
      <x:c r="J41" s="21" t="n">
        <x:f>IF(OR(I41="",F41="",F41&lt;=0),"",I41/F41)</x:f>
        <x:v>2.567026117926395</x:v>
      </x:c>
      <x:c r="K41" s="12" t="str">
        <x:v>160 MHz mục tiêu; setup min −0,051 ns tại Slow 0°C. Chưa đạt đầy đủ timing.</x:v>
      </x:c>
      <x:c r="L41" s="12" t="str">
        <x:v>D:/ML_KEM_768_1024/09_reports/continuous_banked/run_20261025_085959_024/tb_mlkem_service_core.log</x:v>
      </x:c>
      <x:c r="M41" s="2"/>
      <x:c r="N41" s="2"/>
    </x:row>
    <x:row r="42" ht="68" customHeight="1">
      <x:c r="A42" s="12" t="str">
        <x:v>A2_SIM_20261025_060103_737</x:v>
      </x:c>
      <x:c r="B42" s="12" t="str">
        <x:v>A2</x:v>
      </x:c>
      <x:c r="C42" s="12" t="str">
        <x:v>A2_SIM_20261025_085959_024</x:v>
      </x:c>
      <x:c r="D42" s="12" t="str">
        <x:v>768</x:v>
      </x:c>
      <x:c r="E42" s="12" t="str">
        <x:v>Encaps</x:v>
      </x:c>
      <x:c r="F42" s="15" t="n">
        <x:v>106355</x:v>
      </x:c>
      <x:c r="G42" s="12" t="n">
        <x:v>160</x:v>
      </x:c>
      <x:c r="H42" s="18" t="n">
        <x:f>IF(OR(F42="",G42="",G42&lt;=0),"",F42/G42)</x:f>
        <x:v>664.71875</x:v>
      </x:c>
      <x:c r="I42" s="15" t="n">
        <x:f>IF(COUNTIFS($B$20:$B$219,"A0",$D$20:$D$219,D42,$E$20:$E$219,E42)&lt;&gt;1,"",SUMIFS($F$20:$F$219,$B$20:$B$219,"A0",$D$20:$D$219,D42,$E$20:$E$219,E42))</x:f>
        <x:v>263538</x:v>
      </x:c>
      <x:c r="J42" s="21" t="n">
        <x:f>IF(OR(I42="",F42="",F42&lt;=0),"",I42/F42)</x:f>
        <x:v>2.47790889003808</x:v>
      </x:c>
      <x:c r="K42" s="12" t="str">
        <x:v>160 MHz mục tiêu; setup min −0,051 ns tại Slow 0°C. Chưa đạt đầy đủ timing.</x:v>
      </x:c>
      <x:c r="L42" s="12" t="str">
        <x:v>D:/ML_KEM_768_1024/09_reports/continuous_banked/run_20261025_085959_024/tb_mlkem_service_core.log</x:v>
      </x:c>
      <x:c r="M42" s="2"/>
      <x:c r="N42" s="2"/>
    </x:row>
    <x:row r="43" ht="68" customHeight="1">
      <x:c r="A43" s="12" t="str">
        <x:v>A2_SIM_20261025_060103_737</x:v>
      </x:c>
      <x:c r="B43" s="12" t="str">
        <x:v>A2</x:v>
      </x:c>
      <x:c r="C43" s="12" t="str">
        <x:v>A2_SIM_20261025_085959_024</x:v>
      </x:c>
      <x:c r="D43" s="12" t="str">
        <x:v>768</x:v>
      </x:c>
      <x:c r="E43" s="12" t="str">
        <x:v>Decaps</x:v>
      </x:c>
      <x:c r="F43" s="15" t="n">
        <x:v>149594</x:v>
      </x:c>
      <x:c r="G43" s="12" t="n">
        <x:v>160</x:v>
      </x:c>
      <x:c r="H43" s="18" t="n">
        <x:f>IF(OR(F43="",G43="",G43&lt;=0),"",F43/G43)</x:f>
        <x:v>934.9625</x:v>
      </x:c>
      <x:c r="I43" s="15" t="n">
        <x:f>IF(COUNTIFS($B$20:$B$219,"A0",$D$20:$D$219,D43,$E$20:$E$219,E43)&lt;&gt;1,"",SUMIFS($F$20:$F$219,$B$20:$B$219,"A0",$D$20:$D$219,D43,$E$20:$E$219,E43))</x:f>
        <x:v>362654</x:v>
      </x:c>
      <x:c r="J43" s="21" t="n">
        <x:f>IF(OR(I43="",F43="",F43&lt;=0),"",I43/F43)</x:f>
        <x:v>2.4242549834886424</x:v>
      </x:c>
      <x:c r="K43" s="12" t="str">
        <x:v>160 MHz mục tiêu; setup min −0,051 ns tại Slow 0°C. Chưa đạt đầy đủ timing.</x:v>
      </x:c>
      <x:c r="L43" s="12" t="str">
        <x:v>D:/ML_KEM_768_1024/09_reports/continuous_banked/run_20261025_085959_024/tb_mlkem_service_core.log</x:v>
      </x:c>
      <x:c r="M43" s="2"/>
      <x:c r="N43" s="2"/>
    </x:row>
    <x:row r="44" ht="68" customHeight="1">
      <x:c r="A44" s="12" t="str">
        <x:v>A2_SIM_20261025_060103_737</x:v>
      </x:c>
      <x:c r="B44" s="12" t="str">
        <x:v>A2</x:v>
      </x:c>
      <x:c r="C44" s="12" t="str">
        <x:v>A2_SIM_20261025_085959_024</x:v>
      </x:c>
      <x:c r="D44" s="12" t="str">
        <x:v>1024</x:v>
      </x:c>
      <x:c r="E44" s="12" t="str">
        <x:v>KeyGen</x:v>
      </x:c>
      <x:c r="F44" s="15" t="n">
        <x:v>127047</x:v>
      </x:c>
      <x:c r="G44" s="12" t="n">
        <x:v>160</x:v>
      </x:c>
      <x:c r="H44" s="18" t="n">
        <x:f>IF(OR(F44="",G44="",G44&lt;=0),"",F44/G44)</x:f>
        <x:v>794.04375</x:v>
      </x:c>
      <x:c r="I44" s="15" t="n">
        <x:f>IF(COUNTIFS($B$20:$B$219,"A0",$D$20:$D$219,D44,$E$20:$E$219,E44)&lt;&gt;1,"",SUMIFS($F$20:$F$219,$B$20:$B$219,"A0",$D$20:$D$219,D44,$E$20:$E$219,E44))</x:f>
        <x:v>319198</x:v>
      </x:c>
      <x:c r="J44" s="21" t="n">
        <x:f>IF(OR(I44="",F44="",F44&lt;=0),"",I44/F44)</x:f>
        <x:v>2.5124402780073516</x:v>
      </x:c>
      <x:c r="K44" s="12" t="str">
        <x:v>160 MHz mục tiêu; setup min −0,051 ns tại Slow 0°C. Chưa đạt đầy đủ timing.</x:v>
      </x:c>
      <x:c r="L44" s="12" t="str">
        <x:v>D:/ML_KEM_768_1024/09_reports/continuous_banked/run_20261025_085959_024/tb_mlkem_service_core.log</x:v>
      </x:c>
      <x:c r="M44" s="2"/>
      <x:c r="N44" s="2"/>
    </x:row>
    <x:row r="45" ht="68" customHeight="1">
      <x:c r="A45" s="12" t="str">
        <x:v>A2_SIM_20261025_060103_737</x:v>
      </x:c>
      <x:c r="B45" s="12" t="str">
        <x:v>A2</x:v>
      </x:c>
      <x:c r="C45" s="12" t="str">
        <x:v>A2_SIM_20261025_085959_024</x:v>
      </x:c>
      <x:c r="D45" s="12" t="str">
        <x:v>1024</x:v>
      </x:c>
      <x:c r="E45" s="12" t="str">
        <x:v>Encaps</x:v>
      </x:c>
      <x:c r="F45" s="15" t="n">
        <x:v>158223</x:v>
      </x:c>
      <x:c r="G45" s="12" t="n">
        <x:v>160</x:v>
      </x:c>
      <x:c r="H45" s="18" t="n">
        <x:f>IF(OR(F45="",G45="",G45&lt;=0),"",F45/G45)</x:f>
        <x:v>988.89375</x:v>
      </x:c>
      <x:c r="I45" s="15" t="n">
        <x:f>IF(COUNTIFS($B$20:$B$219,"A0",$D$20:$D$219,D45,$E$20:$E$219,E45)&lt;&gt;1,"",SUMIFS($F$20:$F$219,$B$20:$B$219,"A0",$D$20:$D$219,D45,$E$20:$E$219,E45))</x:f>
        <x:v>386366</x:v>
      </x:c>
      <x:c r="J45" s="21" t="n">
        <x:f>IF(OR(I45="",F45="",F45&lt;=0),"",I45/F45)</x:f>
        <x:v>2.4419079400592834</x:v>
      </x:c>
      <x:c r="K45" s="12" t="str">
        <x:v>160 MHz mục tiêu; setup min −0,051 ns tại Slow 0°C. Chưa đạt đầy đủ timing.</x:v>
      </x:c>
      <x:c r="L45" s="12" t="str">
        <x:v>D:/ML_KEM_768_1024/09_reports/continuous_banked/run_20261025_085959_024/tb_mlkem_service_core.log</x:v>
      </x:c>
      <x:c r="M45" s="2"/>
      <x:c r="N45" s="2"/>
    </x:row>
    <x:row r="46" ht="68" customHeight="1">
      <x:c r="A46" s="12" t="str">
        <x:v>A2_SIM_20261025_060103_737</x:v>
      </x:c>
      <x:c r="B46" s="12" t="str">
        <x:v>A2</x:v>
      </x:c>
      <x:c r="C46" s="12" t="str">
        <x:v>A2_SIM_20261025_085959_024</x:v>
      </x:c>
      <x:c r="D46" s="12" t="str">
        <x:v>1024</x:v>
      </x:c>
      <x:c r="E46" s="12" t="str">
        <x:v>Decaps</x:v>
      </x:c>
      <x:c r="F46" s="15" t="n">
        <x:v>213792</x:v>
      </x:c>
      <x:c r="G46" s="12" t="n">
        <x:v>160</x:v>
      </x:c>
      <x:c r="H46" s="18" t="n">
        <x:f>IF(OR(F46="",G46="",G46&lt;=0),"",F46/G46)</x:f>
        <x:v>1336.2</x:v>
      </x:c>
      <x:c r="I46" s="15" t="n">
        <x:f>IF(COUNTIFS($B$20:$B$219,"A0",$D$20:$D$219,D46,$E$20:$E$219,E46)&lt;&gt;1,"",SUMIFS($F$20:$F$219,$B$20:$B$219,"A0",$D$20:$D$219,D46,$E$20:$E$219,E46))</x:f>
        <x:v>512312</x:v>
      </x:c>
      <x:c r="J46" s="21" t="n">
        <x:f>IF(OR(I46="",F46="",F46&lt;=0),"",I46/F46)</x:f>
        <x:v>2.3963104325699747</x:v>
      </x:c>
      <x:c r="K46" s="12" t="str">
        <x:v>160 MHz mục tiêu; setup min −0,051 ns tại Slow 0°C. Chưa đạt đầy đủ timing.</x:v>
      </x:c>
      <x:c r="L46" s="12" t="str">
        <x:v>D:/ML_KEM_768_1024/09_reports/continuous_banked/run_20261025_085959_024/tb_mlkem_service_core.log</x:v>
      </x:c>
      <x:c r="M46" s="2"/>
      <x:c r="N46" s="2"/>
    </x:row>
    <x:row r="47" ht="68" customHeight="1">
      <x:c r="A47" s="12" t="str">
        <x:v>A3_256 hệ số_NTT</x:v>
      </x:c>
      <x:c r="B47" s="12" t="str">
        <x:v>A3</x:v>
      </x:c>
      <x:c r="C47" s="12" t="str">
        <x:v>A3_SIM_20261024_060402_971</x:v>
      </x:c>
      <x:c r="D47" s="12" t="str">
        <x:v>256 hệ số</x:v>
      </x:c>
      <x:c r="E47" s="12" t="str">
        <x:v>NTT</x:v>
      </x:c>
      <x:c r="F47" s="15" t="n">
        <x:v>905</x:v>
      </x:c>
      <x:c r="G47" s="12" t="n">
        <x:v>160</x:v>
      </x:c>
      <x:c r="H47" s="18" t="n">
        <x:f>IF(OR(F47="",G47="",G47&lt;=0),"",F47/G47)</x:f>
        <x:v>5.65625</x:v>
      </x:c>
      <x:c r="I47" s="15" t="n">
        <x:f>IF(COUNTIFS($B$20:$B$219,"A0",$D$20:$D$219,D47,$E$20:$E$219,E47)&lt;&gt;1,"",SUMIFS($F$20:$F$219,$B$20:$B$219,"A0",$D$20:$D$219,D47,$E$20:$E$219,E47))</x:f>
        <x:v>9984</x:v>
      </x:c>
      <x:c r="J47" s="21" t="n">
        <x:f>IF(OR(I47="",F47="",F47&lt;=0),"",I47/F47)</x:f>
        <x:v>11.032044198895028</x:v>
      </x:c>
      <x:c r="K47" s="12" t="str">
        <x:v>160 MHz mục tiêu; chưa đạt STA; chu kỳ từ regression cũ, 34/34 RTL khớp regression</x:v>
      </x:c>
      <x:c r="L47" s="12" t="str">
        <x:v>D:/ML_KEM_768_1024/09_reports/continuous_banked_cycle_opt/run_20261024_060402_971/tb_ntt_intt.log</x:v>
      </x:c>
      <x:c r="M47" s="2"/>
      <x:c r="N47" s="2"/>
    </x:row>
    <x:row r="48" ht="68" customHeight="1">
      <x:c r="A48" s="12" t="str">
        <x:v>A3_256 hệ số_INTT</x:v>
      </x:c>
      <x:c r="B48" s="12" t="str">
        <x:v>A3</x:v>
      </x:c>
      <x:c r="C48" s="12" t="str">
        <x:v>A3_SIM_20261024_060402_971</x:v>
      </x:c>
      <x:c r="D48" s="12" t="str">
        <x:v>256 hệ số</x:v>
      </x:c>
      <x:c r="E48" s="12" t="str">
        <x:v>INTT</x:v>
      </x:c>
      <x:c r="F48" s="15" t="n">
        <x:v>905</x:v>
      </x:c>
      <x:c r="G48" s="12" t="n">
        <x:v>160</x:v>
      </x:c>
      <x:c r="H48" s="18" t="n">
        <x:f>IF(OR(F48="",G48="",G48&lt;=0),"",F48/G48)</x:f>
        <x:v>5.65625</x:v>
      </x:c>
      <x:c r="I48" s="15" t="n">
        <x:f>IF(COUNTIFS($B$20:$B$219,"A0",$D$20:$D$219,D48,$E$20:$E$219,E48)&lt;&gt;1,"",SUMIFS($F$20:$F$219,$B$20:$B$219,"A0",$D$20:$D$219,D48,$E$20:$E$219,E48))</x:f>
        <x:v>12800</x:v>
      </x:c>
      <x:c r="J48" s="21" t="n">
        <x:f>IF(OR(I48="",F48="",F48&lt;=0),"",I48/F48)</x:f>
        <x:v>14.143646408839778</x:v>
      </x:c>
      <x:c r="K48" s="12" t="str">
        <x:v>160 MHz mục tiêu; chưa đạt STA; chu kỳ từ regression cũ, 34/34 RTL khớp regression</x:v>
      </x:c>
      <x:c r="L48" s="12" t="str">
        <x:v>D:/ML_KEM_768_1024/09_reports/continuous_banked_cycle_opt/run_20261024_060402_971/tb_ntt_intt.log</x:v>
      </x:c>
      <x:c r="M48" s="2"/>
      <x:c r="N48" s="2"/>
    </x:row>
    <x:row r="49" ht="68" customHeight="1">
      <x:c r="A49" s="12" t="str">
        <x:v>A3_256 hệ số_MultiplyNTTs</x:v>
      </x:c>
      <x:c r="B49" s="12" t="str">
        <x:v>A3</x:v>
      </x:c>
      <x:c r="C49" s="12" t="str">
        <x:v>A3_SIM_20261024_060402_971</x:v>
      </x:c>
      <x:c r="D49" s="12" t="str">
        <x:v>256 hệ số</x:v>
      </x:c>
      <x:c r="E49" s="12" t="str">
        <x:v>MultiplyNTTs</x:v>
      </x:c>
      <x:c r="F49" s="15" t="n">
        <x:v>143</x:v>
      </x:c>
      <x:c r="G49" s="12" t="n">
        <x:v>160</x:v>
      </x:c>
      <x:c r="H49" s="18" t="n">
        <x:f>IF(OR(F49="",G49="",G49&lt;=0),"",F49/G49)</x:f>
        <x:v>0.89375</x:v>
      </x:c>
      <x:c r="I49" s="15" t="n">
        <x:f>IF(COUNTIFS($B$20:$B$219,"A0",$D$20:$D$219,D49,$E$20:$E$219,E49)&lt;&gt;1,"",SUMIFS($F$20:$F$219,$B$20:$B$219,"A0",$D$20:$D$219,D49,$E$20:$E$219,E49))</x:f>
        <x:v>2433</x:v>
      </x:c>
      <x:c r="J49" s="21" t="n">
        <x:f>IF(OR(I49="",F49="",F49&lt;=0),"",I49/F49)</x:f>
        <x:v>17.013986013986013</x:v>
      </x:c>
      <x:c r="K49" s="12" t="str">
        <x:v>160 MHz mục tiêu; chưa đạt STA; chu kỳ từ regression cũ, 34/34 RTL khớp regression</x:v>
      </x:c>
      <x:c r="L49" s="12" t="str">
        <x:v>D:/ML_KEM_768_1024/09_reports/continuous_banked_cycle_opt/run_20261024_060402_971/tb_multiply_ntts.log</x:v>
      </x:c>
      <x:c r="M49" s="2"/>
      <x:c r="N49" s="2"/>
    </x:row>
    <x:row r="50" ht="68" customHeight="1">
      <x:c r="A50" s="12" t="str">
        <x:v>A3_768_KeyGen</x:v>
      </x:c>
      <x:c r="B50" s="12" t="str">
        <x:v>A3</x:v>
      </x:c>
      <x:c r="C50" s="12" t="str">
        <x:v>A3_SIM_20261024_060402_971</x:v>
      </x:c>
      <x:c r="D50" s="12" t="str">
        <x:v>768</x:v>
      </x:c>
      <x:c r="E50" s="12" t="str">
        <x:v>KeyGen</x:v>
      </x:c>
      <x:c r="F50" s="15" t="n">
        <x:v>77792</x:v>
      </x:c>
      <x:c r="G50" s="12" t="n">
        <x:v>160</x:v>
      </x:c>
      <x:c r="H50" s="18" t="n">
        <x:f>IF(OR(F50="",G50="",G50&lt;=0),"",F50/G50)</x:f>
        <x:v>486.2</x:v>
      </x:c>
      <x:c r="I50" s="15" t="n">
        <x:f>IF(COUNTIFS($B$20:$B$219,"A0",$D$20:$D$219,D50,$E$20:$E$219,E50)&lt;&gt;1,"",SUMIFS($F$20:$F$219,$B$20:$B$219,"A0",$D$20:$D$219,D50,$E$20:$E$219,E50))</x:f>
        <x:v>207580</x:v>
      </x:c>
      <x:c r="J50" s="21" t="n">
        <x:f>IF(OR(I50="",F50="",F50&lt;=0),"",I50/F50)</x:f>
        <x:v>2.6683977786918964</x:v>
      </x:c>
      <x:c r="K50" s="12" t="str">
        <x:v>160 MHz mục tiêu; chưa đạt STA; chu kỳ từ regression cũ, 34/34 RTL khớp regression</x:v>
      </x:c>
      <x:c r="L50" s="12" t="str">
        <x:v>D:/ML_KEM_768_1024/09_reports/continuous_banked_cycle_opt/run_20261024_060402_971/tb_mlkem_service_core.log</x:v>
      </x:c>
      <x:c r="M50" s="2"/>
      <x:c r="N50" s="2"/>
    </x:row>
    <x:row r="51" ht="68" customHeight="1">
      <x:c r="A51" s="12" t="str">
        <x:v>A3_768_Encaps</x:v>
      </x:c>
      <x:c r="B51" s="12" t="str">
        <x:v>A3</x:v>
      </x:c>
      <x:c r="C51" s="12" t="str">
        <x:v>A3_SIM_20261024_060402_971</x:v>
      </x:c>
      <x:c r="D51" s="12" t="str">
        <x:v>768</x:v>
      </x:c>
      <x:c r="E51" s="12" t="str">
        <x:v>Encaps</x:v>
      </x:c>
      <x:c r="F51" s="15" t="n">
        <x:v>102003</x:v>
      </x:c>
      <x:c r="G51" s="12" t="n">
        <x:v>160</x:v>
      </x:c>
      <x:c r="H51" s="18" t="n">
        <x:f>IF(OR(F51="",G51="",G51&lt;=0),"",F51/G51)</x:f>
        <x:v>637.51875</x:v>
      </x:c>
      <x:c r="I51" s="15" t="n">
        <x:f>IF(COUNTIFS($B$20:$B$219,"A0",$D$20:$D$219,D51,$E$20:$E$219,E51)&lt;&gt;1,"",SUMIFS($F$20:$F$219,$B$20:$B$219,"A0",$D$20:$D$219,D51,$E$20:$E$219,E51))</x:f>
        <x:v>263538</x:v>
      </x:c>
      <x:c r="J51" s="21" t="n">
        <x:f>IF(OR(I51="",F51="",F51&lt;=0),"",I51/F51)</x:f>
        <x:v>2.583629893238434</x:v>
      </x:c>
      <x:c r="K51" s="12" t="str">
        <x:v>160 MHz mục tiêu; chưa đạt STA; chu kỳ từ regression cũ, 34/34 RTL khớp regression</x:v>
      </x:c>
      <x:c r="L51" s="12" t="str">
        <x:v>D:/ML_KEM_768_1024/09_reports/continuous_banked_cycle_opt/run_20261024_060402_971/tb_mlkem_service_core.log</x:v>
      </x:c>
      <x:c r="M51" s="2"/>
      <x:c r="N51" s="2"/>
    </x:row>
    <x:row r="52" ht="68" customHeight="1">
      <x:c r="A52" s="12" t="str">
        <x:v>A3_768_Decaps</x:v>
      </x:c>
      <x:c r="B52" s="12" t="str">
        <x:v>A3</x:v>
      </x:c>
      <x:c r="C52" s="12" t="str">
        <x:v>A3_SIM_20261024_060402_971</x:v>
      </x:c>
      <x:c r="D52" s="12" t="str">
        <x:v>768</x:v>
      </x:c>
      <x:c r="E52" s="12" t="str">
        <x:v>Decaps</x:v>
      </x:c>
      <x:c r="F52" s="15" t="n">
        <x:v>144218</x:v>
      </x:c>
      <x:c r="G52" s="12" t="n">
        <x:v>160</x:v>
      </x:c>
      <x:c r="H52" s="18" t="n">
        <x:f>IF(OR(F52="",G52="",G52&lt;=0),"",F52/G52)</x:f>
        <x:v>901.3625</x:v>
      </x:c>
      <x:c r="I52" s="15" t="n">
        <x:f>IF(COUNTIFS($B$20:$B$219,"A0",$D$20:$D$219,D52,$E$20:$E$219,E52)&lt;&gt;1,"",SUMIFS($F$20:$F$219,$B$20:$B$219,"A0",$D$20:$D$219,D52,$E$20:$E$219,E52))</x:f>
        <x:v>362654</x:v>
      </x:c>
      <x:c r="J52" s="21" t="n">
        <x:f>IF(OR(I52="",F52="",F52&lt;=0),"",I52/F52)</x:f>
        <x:v>2.514623694684436</x:v>
      </x:c>
      <x:c r="K52" s="12" t="str">
        <x:v>160 MHz mục tiêu; chưa đạt STA; chu kỳ từ regression cũ, 34/34 RTL khớp regression</x:v>
      </x:c>
      <x:c r="L52" s="12" t="str">
        <x:v>D:/ML_KEM_768_1024/09_reports/continuous_banked_cycle_opt/run_20261024_060402_971/tb_mlkem_service_core.log</x:v>
      </x:c>
      <x:c r="M52" s="2"/>
      <x:c r="N52" s="2"/>
    </x:row>
    <x:row r="53" ht="68" customHeight="1">
      <x:c r="A53" s="12" t="str">
        <x:v>A3_1024_KeyGen</x:v>
      </x:c>
      <x:c r="B53" s="12" t="str">
        <x:v>A3</x:v>
      </x:c>
      <x:c r="C53" s="12" t="str">
        <x:v>A3_SIM_20261024_060402_971</x:v>
      </x:c>
      <x:c r="D53" s="12" t="str">
        <x:v>1024</x:v>
      </x:c>
      <x:c r="E53" s="12" t="str">
        <x:v>KeyGen</x:v>
      </x:c>
      <x:c r="F53" s="15" t="n">
        <x:v>121927</x:v>
      </x:c>
      <x:c r="G53" s="12" t="n">
        <x:v>160</x:v>
      </x:c>
      <x:c r="H53" s="18" t="n">
        <x:f>IF(OR(F53="",G53="",G53&lt;=0),"",F53/G53)</x:f>
        <x:v>762.04375</x:v>
      </x:c>
      <x:c r="I53" s="15" t="n">
        <x:f>IF(COUNTIFS($B$20:$B$219,"A0",$D$20:$D$219,D53,$E$20:$E$219,E53)&lt;&gt;1,"",SUMIFS($F$20:$F$219,$B$20:$B$219,"A0",$D$20:$D$219,D53,$E$20:$E$219,E53))</x:f>
        <x:v>319198</x:v>
      </x:c>
      <x:c r="J53" s="21" t="n">
        <x:f>IF(OR(I53="",F53="",F53&lt;=0),"",I53/F53)</x:f>
        <x:v>2.617943523583784</x:v>
      </x:c>
      <x:c r="K53" s="12" t="str">
        <x:v>160 MHz mục tiêu; chưa đạt STA; chu kỳ từ regression cũ, 34/34 RTL khớp regression</x:v>
      </x:c>
      <x:c r="L53" s="12" t="str">
        <x:v>D:/ML_KEM_768_1024/09_reports/continuous_banked_cycle_opt/run_20261024_060402_971/tb_mlkem_service_core.log</x:v>
      </x:c>
      <x:c r="M53" s="2"/>
      <x:c r="N53" s="2"/>
    </x:row>
    <x:row r="54" ht="68" customHeight="1">
      <x:c r="A54" s="12" t="str">
        <x:v>A3_1024_Encaps</x:v>
      </x:c>
      <x:c r="B54" s="12" t="str">
        <x:v>A3</x:v>
      </x:c>
      <x:c r="C54" s="12" t="str">
        <x:v>A3_SIM_20261024_060402_971</x:v>
      </x:c>
      <x:c r="D54" s="12" t="str">
        <x:v>1024</x:v>
      </x:c>
      <x:c r="E54" s="12" t="str">
        <x:v>Encaps</x:v>
      </x:c>
      <x:c r="F54" s="15" t="n">
        <x:v>151567</x:v>
      </x:c>
      <x:c r="G54" s="12" t="n">
        <x:v>160</x:v>
      </x:c>
      <x:c r="H54" s="18" t="n">
        <x:f>IF(OR(F54="",G54="",G54&lt;=0),"",F54/G54)</x:f>
        <x:v>947.29375</x:v>
      </x:c>
      <x:c r="I54" s="15" t="n">
        <x:f>IF(COUNTIFS($B$20:$B$219,"A0",$D$20:$D$219,D54,$E$20:$E$219,E54)&lt;&gt;1,"",SUMIFS($F$20:$F$219,$B$20:$B$219,"A0",$D$20:$D$219,D54,$E$20:$E$219,E54))</x:f>
        <x:v>386366</x:v>
      </x:c>
      <x:c r="J54" s="21" t="n">
        <x:f>IF(OR(I54="",F54="",F54&lt;=0),"",I54/F54)</x:f>
        <x:v>2.5491432831684997</x:v>
      </x:c>
      <x:c r="K54" s="12" t="str">
        <x:v>160 MHz mục tiêu; chưa đạt STA; chu kỳ từ regression cũ, 34/34 RTL khớp regression</x:v>
      </x:c>
      <x:c r="L54" s="12" t="str">
        <x:v>D:/ML_KEM_768_1024/09_reports/continuous_banked_cycle_opt/run_20261024_060402_971/tb_mlkem_service_core.log</x:v>
      </x:c>
      <x:c r="M54" s="2"/>
      <x:c r="N54" s="2"/>
    </x:row>
    <x:row r="55" ht="68" customHeight="1">
      <x:c r="A55" s="12" t="str">
        <x:v>A3_1024_Decaps</x:v>
      </x:c>
      <x:c r="B55" s="12" t="str">
        <x:v>A3</x:v>
      </x:c>
      <x:c r="C55" s="12" t="str">
        <x:v>A3_SIM_20261024_060402_971</x:v>
      </x:c>
      <x:c r="D55" s="12" t="str">
        <x:v>1024</x:v>
      </x:c>
      <x:c r="E55" s="12" t="str">
        <x:v>Decaps</x:v>
      </x:c>
      <x:c r="F55" s="15" t="n">
        <x:v>205856</x:v>
      </x:c>
      <x:c r="G55" s="12" t="n">
        <x:v>160</x:v>
      </x:c>
      <x:c r="H55" s="18" t="n">
        <x:f>IF(OR(F55="",G55="",G55&lt;=0),"",F55/G55)</x:f>
        <x:v>1286.6</x:v>
      </x:c>
      <x:c r="I55" s="15" t="n">
        <x:f>IF(COUNTIFS($B$20:$B$219,"A0",$D$20:$D$219,D55,$E$20:$E$219,E55)&lt;&gt;1,"",SUMIFS($F$20:$F$219,$B$20:$B$219,"A0",$D$20:$D$219,D55,$E$20:$E$219,E55))</x:f>
        <x:v>512312</x:v>
      </x:c>
      <x:c r="J55" s="21" t="n">
        <x:f>IF(OR(I55="",F55="",F55&lt;=0),"",I55/F55)</x:f>
        <x:v>2.48869112389243</x:v>
      </x:c>
      <x:c r="K55" s="12" t="str">
        <x:v>160 MHz mục tiêu; chưa đạt STA; chu kỳ từ regression cũ, 34/34 RTL khớp regression</x:v>
      </x:c>
      <x:c r="L55" s="12" t="str">
        <x:v>D:/ML_KEM_768_1024/09_reports/continuous_banked_cycle_opt/run_20261024_060402_971/tb_mlkem_service_core.log</x:v>
      </x:c>
      <x:c r="M55" s="2"/>
      <x:c r="N55" s="2"/>
    </x:row>
    <x:row r="56" ht="68" customHeight="1">
      <x:c r="A56" s="12" t="str">
        <x:v>A4_SIM_20261025_060635_998</x:v>
      </x:c>
      <x:c r="B56" s="12" t="str">
        <x:v>A4</x:v>
      </x:c>
      <x:c r="C56" s="12" t="str">
        <x:v>A4_SIM_20261024_060413_427</x:v>
      </x:c>
      <x:c r="D56" s="12" t="str">
        <x:v>256 hệ số</x:v>
      </x:c>
      <x:c r="E56" s="12" t="str">
        <x:v>NTT</x:v>
      </x:c>
      <x:c r="F56" s="15" t="n">
        <x:v>906</x:v>
      </x:c>
      <x:c r="G56" s="12" t="n">
        <x:v>160</x:v>
      </x:c>
      <x:c r="H56" s="18" t="n">
        <x:f>IF(OR(F56="",G56="",G56&lt;=0),"",F56/G56)</x:f>
        <x:v>5.6625</x:v>
      </x:c>
      <x:c r="I56" s="15" t="n">
        <x:f>IF(COUNTIFS($B$20:$B$219,"A0",$D$20:$D$219,D56,$E$20:$E$219,E56)&lt;&gt;1,"",SUMIFS($F$20:$F$219,$B$20:$B$219,"A0",$D$20:$D$219,D56,$E$20:$E$219,E56))</x:f>
        <x:v>9984</x:v>
      </x:c>
      <x:c r="J56" s="21" t="n">
        <x:f>IF(OR(I56="",F56="",F56&lt;=0),"",I56/F56)</x:f>
        <x:v>11.019867549668874</x:v>
      </x:c>
      <x:c r="K56" s="12" t="str">
        <x:v>160 MHz đạt STA; kết quả fit trước đổi tên project.</x:v>
      </x:c>
      <x:c r="L56" s="12" t="str">
        <x:v>D:/ML_KEM_768_1024/09_reports/continuous_banked_cycle_opt_v2/run_20261024_060413_427/tb_ntt_intt.log</x:v>
      </x:c>
      <x:c r="M56" s="2"/>
      <x:c r="N56" s="2"/>
    </x:row>
    <x:row r="57" ht="68" customHeight="1">
      <x:c r="A57" s="12" t="str">
        <x:v>A4_SIM_20261025_060635_998</x:v>
      </x:c>
      <x:c r="B57" s="12" t="str">
        <x:v>A4</x:v>
      </x:c>
      <x:c r="C57" s="12" t="str">
        <x:v>A4_SIM_20261024_060413_427</x:v>
      </x:c>
      <x:c r="D57" s="12" t="str">
        <x:v>256 hệ số</x:v>
      </x:c>
      <x:c r="E57" s="12" t="str">
        <x:v>INTT</x:v>
      </x:c>
      <x:c r="F57" s="15" t="n">
        <x:v>906</x:v>
      </x:c>
      <x:c r="G57" s="12" t="n">
        <x:v>160</x:v>
      </x:c>
      <x:c r="H57" s="18" t="n">
        <x:f>IF(OR(F57="",G57="",G57&lt;=0),"",F57/G57)</x:f>
        <x:v>5.6625</x:v>
      </x:c>
      <x:c r="I57" s="15" t="n">
        <x:f>IF(COUNTIFS($B$20:$B$219,"A0",$D$20:$D$219,D57,$E$20:$E$219,E57)&lt;&gt;1,"",SUMIFS($F$20:$F$219,$B$20:$B$219,"A0",$D$20:$D$219,D57,$E$20:$E$219,E57))</x:f>
        <x:v>12800</x:v>
      </x:c>
      <x:c r="J57" s="21" t="n">
        <x:f>IF(OR(I57="",F57="",F57&lt;=0),"",I57/F57)</x:f>
        <x:v>14.1280353200883</x:v>
      </x:c>
      <x:c r="K57" s="12" t="str">
        <x:v>160 MHz đạt STA; kết quả fit trước đổi tên project.</x:v>
      </x:c>
      <x:c r="L57" s="12" t="str">
        <x:v>D:/ML_KEM_768_1024/09_reports/continuous_banked_cycle_opt_v2/run_20261024_060413_427/tb_ntt_intt.log</x:v>
      </x:c>
      <x:c r="M57" s="2"/>
      <x:c r="N57" s="2"/>
    </x:row>
    <x:row r="58" ht="68" customHeight="1">
      <x:c r="A58" s="12" t="str">
        <x:v>A4_SIM_20261025_060635_998</x:v>
      </x:c>
      <x:c r="B58" s="12" t="str">
        <x:v>A4</x:v>
      </x:c>
      <x:c r="C58" s="12" t="str">
        <x:v>A4_SIM_20261024_060413_427</x:v>
      </x:c>
      <x:c r="D58" s="12" t="str">
        <x:v>256 hệ số</x:v>
      </x:c>
      <x:c r="E58" s="12" t="str">
        <x:v>MultiplyNTTs</x:v>
      </x:c>
      <x:c r="F58" s="15" t="n">
        <x:v>143</x:v>
      </x:c>
      <x:c r="G58" s="12" t="n">
        <x:v>160</x:v>
      </x:c>
      <x:c r="H58" s="18" t="n">
        <x:f>IF(OR(F58="",G58="",G58&lt;=0),"",F58/G58)</x:f>
        <x:v>0.89375</x:v>
      </x:c>
      <x:c r="I58" s="15" t="n">
        <x:f>IF(COUNTIFS($B$20:$B$219,"A0",$D$20:$D$219,D58,$E$20:$E$219,E58)&lt;&gt;1,"",SUMIFS($F$20:$F$219,$B$20:$B$219,"A0",$D$20:$D$219,D58,$E$20:$E$219,E58))</x:f>
        <x:v>2433</x:v>
      </x:c>
      <x:c r="J58" s="21" t="n">
        <x:f>IF(OR(I58="",F58="",F58&lt;=0),"",I58/F58)</x:f>
        <x:v>17.013986013986013</x:v>
      </x:c>
      <x:c r="K58" s="12" t="str">
        <x:v>160 MHz đạt STA; kết quả fit trước đổi tên project.</x:v>
      </x:c>
      <x:c r="L58" s="12" t="str">
        <x:v>D:/ML_KEM_768_1024/09_reports/continuous_banked_cycle_opt_v2/run_20261024_060413_427/tb_multiply_ntts.log</x:v>
      </x:c>
      <x:c r="M58" s="2"/>
      <x:c r="N58" s="2"/>
    </x:row>
    <x:row r="59" ht="68" customHeight="1">
      <x:c r="A59" s="12" t="str">
        <x:v>A4_SIM_20261025_060635_998</x:v>
      </x:c>
      <x:c r="B59" s="12" t="str">
        <x:v>A4</x:v>
      </x:c>
      <x:c r="C59" s="12" t="str">
        <x:v>A4_SIM_20261024_060413_427</x:v>
      </x:c>
      <x:c r="D59" s="12" t="str">
        <x:v>768</x:v>
      </x:c>
      <x:c r="E59" s="12" t="str">
        <x:v>KeyGen</x:v>
      </x:c>
      <x:c r="F59" s="15" t="n">
        <x:v>74911</x:v>
      </x:c>
      <x:c r="G59" s="12" t="n">
        <x:v>160</x:v>
      </x:c>
      <x:c r="H59" s="18" t="n">
        <x:f>IF(OR(F59="",G59="",G59&lt;=0),"",F59/G59)</x:f>
        <x:v>468.19375</x:v>
      </x:c>
      <x:c r="I59" s="15" t="n">
        <x:f>IF(COUNTIFS($B$20:$B$219,"A0",$D$20:$D$219,D59,$E$20:$E$219,E59)&lt;&gt;1,"",SUMIFS($F$20:$F$219,$B$20:$B$219,"A0",$D$20:$D$219,D59,$E$20:$E$219,E59))</x:f>
        <x:v>207580</x:v>
      </x:c>
      <x:c r="J59" s="21" t="n">
        <x:f>IF(OR(I59="",F59="",F59&lt;=0),"",I59/F59)</x:f>
        <x:v>2.7710216123132785</x:v>
      </x:c>
      <x:c r="K59" s="12" t="str">
        <x:v>160 MHz đạt STA; kết quả fit trước đổi tên project.</x:v>
      </x:c>
      <x:c r="L59" s="12" t="str">
        <x:v>D:/ML_KEM_768_1024/09_reports/continuous_banked_cycle_opt_v2/run_20261024_060413_427/tb_mlkem_service_core.log</x:v>
      </x:c>
      <x:c r="M59" s="2"/>
      <x:c r="N59" s="2"/>
    </x:row>
    <x:row r="60" ht="68" customHeight="1">
      <x:c r="A60" s="12" t="str">
        <x:v>A4_SIM_20261025_060635_998</x:v>
      </x:c>
      <x:c r="B60" s="12" t="str">
        <x:v>A4</x:v>
      </x:c>
      <x:c r="C60" s="12" t="str">
        <x:v>A4_SIM_20261024_060413_427</x:v>
      </x:c>
      <x:c r="D60" s="12" t="str">
        <x:v>768</x:v>
      </x:c>
      <x:c r="E60" s="12" t="str">
        <x:v>Encaps</x:v>
      </x:c>
      <x:c r="F60" s="15" t="n">
        <x:v>99061</x:v>
      </x:c>
      <x:c r="G60" s="12" t="n">
        <x:v>160</x:v>
      </x:c>
      <x:c r="H60" s="18" t="n">
        <x:f>IF(OR(F60="",G60="",G60&lt;=0),"",F60/G60)</x:f>
        <x:v>619.13125</x:v>
      </x:c>
      <x:c r="I60" s="15" t="n">
        <x:f>IF(COUNTIFS($B$20:$B$219,"A0",$D$20:$D$219,D60,$E$20:$E$219,E60)&lt;&gt;1,"",SUMIFS($F$20:$F$219,$B$20:$B$219,"A0",$D$20:$D$219,D60,$E$20:$E$219,E60))</x:f>
        <x:v>263538</x:v>
      </x:c>
      <x:c r="J60" s="21" t="n">
        <x:f>IF(OR(I60="",F60="",F60&lt;=0),"",I60/F60)</x:f>
        <x:v>2.660360787797418</x:v>
      </x:c>
      <x:c r="K60" s="12" t="str">
        <x:v>160 MHz đạt STA; kết quả fit trước đổi tên project.</x:v>
      </x:c>
      <x:c r="L60" s="12" t="str">
        <x:v>D:/ML_KEM_768_1024/09_reports/continuous_banked_cycle_opt_v2/run_20261024_060413_427/tb_mlkem_service_core.log</x:v>
      </x:c>
      <x:c r="M60" s="2"/>
      <x:c r="N60" s="2"/>
    </x:row>
    <x:row r="61" ht="68" customHeight="1">
      <x:c r="A61" s="12" t="str">
        <x:v>A4_SIM_20261025_060635_998</x:v>
      </x:c>
      <x:c r="B61" s="12" t="str">
        <x:v>A4</x:v>
      </x:c>
      <x:c r="C61" s="12" t="str">
        <x:v>A4_SIM_20261024_060413_427</x:v>
      </x:c>
      <x:c r="D61" s="12" t="str">
        <x:v>768</x:v>
      </x:c>
      <x:c r="E61" s="12" t="str">
        <x:v>Decaps</x:v>
      </x:c>
      <x:c r="F61" s="15" t="n">
        <x:v>137891</x:v>
      </x:c>
      <x:c r="G61" s="12" t="n">
        <x:v>160</x:v>
      </x:c>
      <x:c r="H61" s="18" t="n">
        <x:f>IF(OR(F61="",G61="",G61&lt;=0),"",F61/G61)</x:f>
        <x:v>861.81875</x:v>
      </x:c>
      <x:c r="I61" s="15" t="n">
        <x:f>IF(COUNTIFS($B$20:$B$219,"A0",$D$20:$D$219,D61,$E$20:$E$219,E61)&lt;&gt;1,"",SUMIFS($F$20:$F$219,$B$20:$B$219,"A0",$D$20:$D$219,D61,$E$20:$E$219,E61))</x:f>
        <x:v>362654</x:v>
      </x:c>
      <x:c r="J61" s="21" t="n">
        <x:f>IF(OR(I61="",F61="",F61&lt;=0),"",I61/F61)</x:f>
        <x:v>2.630004858910299</x:v>
      </x:c>
      <x:c r="K61" s="12" t="str">
        <x:v>160 MHz đạt STA; kết quả fit trước đổi tên project.</x:v>
      </x:c>
      <x:c r="L61" s="12" t="str">
        <x:v>D:/ML_KEM_768_1024/09_reports/continuous_banked_cycle_opt_v2/run_20261024_060413_427/tb_mlkem_service_core.log</x:v>
      </x:c>
      <x:c r="M61" s="2"/>
      <x:c r="N61" s="2"/>
    </x:row>
    <x:row r="62" ht="68" customHeight="1">
      <x:c r="A62" s="12" t="str">
        <x:v>A4_SIM_20261025_060635_998</x:v>
      </x:c>
      <x:c r="B62" s="12" t="str">
        <x:v>A4</x:v>
      </x:c>
      <x:c r="C62" s="12" t="str">
        <x:v>A4_SIM_20261024_060413_427</x:v>
      </x:c>
      <x:c r="D62" s="12" t="str">
        <x:v>1024</x:v>
      </x:c>
      <x:c r="E62" s="12" t="str">
        <x:v>KeyGen</x:v>
      </x:c>
      <x:c r="F62" s="15" t="n">
        <x:v>117985</x:v>
      </x:c>
      <x:c r="G62" s="12" t="n">
        <x:v>160</x:v>
      </x:c>
      <x:c r="H62" s="18" t="n">
        <x:f>IF(OR(F62="",G62="",G62&lt;=0),"",F62/G62)</x:f>
        <x:v>737.40625</x:v>
      </x:c>
      <x:c r="I62" s="15" t="n">
        <x:f>IF(COUNTIFS($B$20:$B$219,"A0",$D$20:$D$219,D62,$E$20:$E$219,E62)&lt;&gt;1,"",SUMIFS($F$20:$F$219,$B$20:$B$219,"A0",$D$20:$D$219,D62,$E$20:$E$219,E62))</x:f>
        <x:v>319198</x:v>
      </x:c>
      <x:c r="J62" s="21" t="n">
        <x:f>IF(OR(I62="",F62="",F62&lt;=0),"",I62/F62)</x:f>
        <x:v>2.7054117048777386</x:v>
      </x:c>
      <x:c r="K62" s="12" t="str">
        <x:v>160 MHz đạt STA; kết quả fit trước đổi tên project.</x:v>
      </x:c>
      <x:c r="L62" s="12" t="str">
        <x:v>D:/ML_KEM_768_1024/09_reports/continuous_banked_cycle_opt_v2/run_20261024_060413_427/tb_mlkem_service_core.log</x:v>
      </x:c>
      <x:c r="M62" s="2"/>
      <x:c r="N62" s="2"/>
    </x:row>
    <x:row r="63" ht="68" customHeight="1">
      <x:c r="A63" s="12" t="str">
        <x:v>A4_SIM_20261025_060635_998</x:v>
      </x:c>
      <x:c r="B63" s="12" t="str">
        <x:v>A4</x:v>
      </x:c>
      <x:c r="C63" s="12" t="str">
        <x:v>A4_SIM_20261024_060413_427</x:v>
      </x:c>
      <x:c r="D63" s="12" t="str">
        <x:v>1024</x:v>
      </x:c>
      <x:c r="E63" s="12" t="str">
        <x:v>Encaps</x:v>
      </x:c>
      <x:c r="F63" s="15" t="n">
        <x:v>147564</x:v>
      </x:c>
      <x:c r="G63" s="12" t="n">
        <x:v>160</x:v>
      </x:c>
      <x:c r="H63" s="18" t="n">
        <x:f>IF(OR(F63="",G63="",G63&lt;=0),"",F63/G63)</x:f>
        <x:v>922.275</x:v>
      </x:c>
      <x:c r="I63" s="15" t="n">
        <x:f>IF(COUNTIFS($B$20:$B$219,"A0",$D$20:$D$219,D63,$E$20:$E$219,E63)&lt;&gt;1,"",SUMIFS($F$20:$F$219,$B$20:$B$219,"A0",$D$20:$D$219,D63,$E$20:$E$219,E63))</x:f>
        <x:v>386366</x:v>
      </x:c>
      <x:c r="J63" s="21" t="n">
        <x:f>IF(OR(I63="",F63="",F63&lt;=0),"",I63/F63)</x:f>
        <x:v>2.6182944349570354</x:v>
      </x:c>
      <x:c r="K63" s="12" t="str">
        <x:v>160 MHz đạt STA; kết quả fit trước đổi tên project.</x:v>
      </x:c>
      <x:c r="L63" s="12" t="str">
        <x:v>D:/ML_KEM_768_1024/09_reports/continuous_banked_cycle_opt_v2/run_20261024_060413_427/tb_mlkem_service_core.log</x:v>
      </x:c>
      <x:c r="M63" s="2"/>
      <x:c r="N63" s="2"/>
    </x:row>
    <x:row r="64" ht="68" customHeight="1">
      <x:c r="A64" s="12" t="str">
        <x:v>A4_SIM_20261025_060635_998</x:v>
      </x:c>
      <x:c r="B64" s="12" t="str">
        <x:v>A4</x:v>
      </x:c>
      <x:c r="C64" s="12" t="str">
        <x:v>A4_SIM_20261024_060413_427</x:v>
      </x:c>
      <x:c r="D64" s="12" t="str">
        <x:v>1024</x:v>
      </x:c>
      <x:c r="E64" s="12" t="str">
        <x:v>Decaps</x:v>
      </x:c>
      <x:c r="F64" s="15" t="n">
        <x:v>197125</x:v>
      </x:c>
      <x:c r="G64" s="12" t="n">
        <x:v>160</x:v>
      </x:c>
      <x:c r="H64" s="18" t="n">
        <x:f>IF(OR(F64="",G64="",G64&lt;=0),"",F64/G64)</x:f>
        <x:v>1232.03125</x:v>
      </x:c>
      <x:c r="I64" s="15" t="n">
        <x:f>IF(COUNTIFS($B$20:$B$219,"A0",$D$20:$D$219,D64,$E$20:$E$219,E64)&lt;&gt;1,"",SUMIFS($F$20:$F$219,$B$20:$B$219,"A0",$D$20:$D$219,D64,$E$20:$E$219,E64))</x:f>
        <x:v>512312</x:v>
      </x:c>
      <x:c r="J64" s="21" t="n">
        <x:f>IF(OR(I64="",F64="",F64&lt;=0),"",I64/F64)</x:f>
        <x:v>2.5989194673430562</x:v>
      </x:c>
      <x:c r="K64" s="12" t="str">
        <x:v>160 MHz đạt STA; kết quả fit trước đổi tên project.</x:v>
      </x:c>
      <x:c r="L64" s="12" t="str">
        <x:v>D:/ML_KEM_768_1024/09_reports/continuous_banked_cycle_opt_v2/run_20261024_060413_427/tb_mlkem_service_core.log</x:v>
      </x:c>
      <x:c r="M64" s="2"/>
      <x:c r="N64" s="2"/>
    </x:row>
    <x:row r="65" ht="68" customHeight="1">
      <x:c r="A65" s="12" t="str">
        <x:v>A5_256 hệ số_NTT</x:v>
      </x:c>
      <x:c r="B65" s="12" t="str">
        <x:v>A5</x:v>
      </x:c>
      <x:c r="C65" s="12" t="str">
        <x:v>A5_SIM_20261024_012050_666</x:v>
      </x:c>
      <x:c r="D65" s="12" t="str">
        <x:v>256 hệ số</x:v>
      </x:c>
      <x:c r="E65" s="12" t="str">
        <x:v>NTT</x:v>
      </x:c>
      <x:c r="F65" s="15" t="n">
        <x:v>235</x:v>
      </x:c>
      <x:c r="G65" s="12" t="n">
        <x:v>160</x:v>
      </x:c>
      <x:c r="H65" s="18" t="n">
        <x:f>IF(OR(F65="",G65="",G65&lt;=0),"",F65/G65)</x:f>
        <x:v>1.46875</x:v>
      </x:c>
      <x:c r="I65" s="15" t="n">
        <x:f>IF(COUNTIFS($B$20:$B$219,"A0",$D$20:$D$219,D65,$E$20:$E$219,E65)&lt;&gt;1,"",SUMIFS($F$20:$F$219,$B$20:$B$219,"A0",$D$20:$D$219,D65,$E$20:$E$219,E65))</x:f>
        <x:v>9984</x:v>
      </x:c>
      <x:c r="J65" s="21" t="n">
        <x:f>IF(OR(I65="",F65="",F65&lt;=0),"",I65/F65)</x:f>
        <x:v>42.48510638297872</x:v>
      </x:c>
      <x:c r="K65" s="12" t="str">
        <x:v>160 MHz đạt STA; chu kỳ từ regression cũ, 36/36 RTL khớp regression</x:v>
      </x:c>
      <x:c r="L65" s="12" t="str">
        <x:v>D:/ML_KEM_768_1024/09_reports/streaming_balanced_4bu/run_20261024_012050_666/tb_ntt_intt.log</x:v>
      </x:c>
      <x:c r="M65" s="2"/>
      <x:c r="N65" s="2"/>
    </x:row>
    <x:row r="66" ht="68" customHeight="1">
      <x:c r="A66" s="12" t="str">
        <x:v>A5_256 hệ số_INTT</x:v>
      </x:c>
      <x:c r="B66" s="12" t="str">
        <x:v>A5</x:v>
      </x:c>
      <x:c r="C66" s="12" t="str">
        <x:v>A5_SIM_20261024_012050_666</x:v>
      </x:c>
      <x:c r="D66" s="12" t="str">
        <x:v>256 hệ số</x:v>
      </x:c>
      <x:c r="E66" s="12" t="str">
        <x:v>INTT</x:v>
      </x:c>
      <x:c r="F66" s="15" t="n">
        <x:v>235</x:v>
      </x:c>
      <x:c r="G66" s="12" t="n">
        <x:v>160</x:v>
      </x:c>
      <x:c r="H66" s="18" t="n">
        <x:f>IF(OR(F66="",G66="",G66&lt;=0),"",F66/G66)</x:f>
        <x:v>1.46875</x:v>
      </x:c>
      <x:c r="I66" s="15" t="n">
        <x:f>IF(COUNTIFS($B$20:$B$219,"A0",$D$20:$D$219,D66,$E$20:$E$219,E66)&lt;&gt;1,"",SUMIFS($F$20:$F$219,$B$20:$B$219,"A0",$D$20:$D$219,D66,$E$20:$E$219,E66))</x:f>
        <x:v>12800</x:v>
      </x:c>
      <x:c r="J66" s="21" t="n">
        <x:f>IF(OR(I66="",F66="",F66&lt;=0),"",I66/F66)</x:f>
        <x:v>54.46808510638298</x:v>
      </x:c>
      <x:c r="K66" s="12" t="str">
        <x:v>160 MHz đạt STA; chu kỳ từ regression cũ, 36/36 RTL khớp regression</x:v>
      </x:c>
      <x:c r="L66" s="12" t="str">
        <x:v>D:/ML_KEM_768_1024/09_reports/streaming_balanced_4bu/run_20261024_012050_666/tb_ntt_intt.log</x:v>
      </x:c>
      <x:c r="M66" s="2"/>
      <x:c r="N66" s="2"/>
    </x:row>
    <x:row r="67" ht="68" customHeight="1">
      <x:c r="A67" s="12" t="str">
        <x:v>A5_256 hệ số_MultiplyNTTs</x:v>
      </x:c>
      <x:c r="B67" s="12" t="str">
        <x:v>A5</x:v>
      </x:c>
      <x:c r="C67" s="12" t="str">
        <x:v>A5_SIM_20261024_012050_666</x:v>
      </x:c>
      <x:c r="D67" s="12" t="str">
        <x:v>256 hệ số</x:v>
      </x:c>
      <x:c r="E67" s="12" t="str">
        <x:v>MultiplyNTTs</x:v>
      </x:c>
      <x:c r="F67" s="15" t="n">
        <x:v>143</x:v>
      </x:c>
      <x:c r="G67" s="12" t="n">
        <x:v>160</x:v>
      </x:c>
      <x:c r="H67" s="18" t="n">
        <x:f>IF(OR(F67="",G67="",G67&lt;=0),"",F67/G67)</x:f>
        <x:v>0.89375</x:v>
      </x:c>
      <x:c r="I67" s="15" t="n">
        <x:f>IF(COUNTIFS($B$20:$B$219,"A0",$D$20:$D$219,D67,$E$20:$E$219,E67)&lt;&gt;1,"",SUMIFS($F$20:$F$219,$B$20:$B$219,"A0",$D$20:$D$219,D67,$E$20:$E$219,E67))</x:f>
        <x:v>2433</x:v>
      </x:c>
      <x:c r="J67" s="21" t="n">
        <x:f>IF(OR(I67="",F67="",F67&lt;=0),"",I67/F67)</x:f>
        <x:v>17.013986013986013</x:v>
      </x:c>
      <x:c r="K67" s="12" t="str">
        <x:v>160 MHz đạt STA; chu kỳ từ regression cũ, 36/36 RTL khớp regression</x:v>
      </x:c>
      <x:c r="L67" s="12" t="str">
        <x:v>D:/ML_KEM_768_1024/09_reports/streaming_balanced_4bu/run_20261024_012050_666/tb_multiply_ntts.log</x:v>
      </x:c>
      <x:c r="M67" s="2"/>
      <x:c r="N67" s="2"/>
    </x:row>
    <x:row r="68" ht="68" customHeight="1">
      <x:c r="A68" s="12" t="str">
        <x:v>A5_768_KeyGen</x:v>
      </x:c>
      <x:c r="B68" s="12" t="str">
        <x:v>A5</x:v>
      </x:c>
      <x:c r="C68" s="12" t="str">
        <x:v>A5_SIM_20261024_012050_666</x:v>
      </x:c>
      <x:c r="D68" s="12" t="str">
        <x:v>768</x:v>
      </x:c>
      <x:c r="E68" s="12" t="str">
        <x:v>KeyGen</x:v>
      </x:c>
      <x:c r="F68" s="15" t="n">
        <x:v>70885</x:v>
      </x:c>
      <x:c r="G68" s="12" t="n">
        <x:v>160</x:v>
      </x:c>
      <x:c r="H68" s="18" t="n">
        <x:f>IF(OR(F68="",G68="",G68&lt;=0),"",F68/G68)</x:f>
        <x:v>443.03125</x:v>
      </x:c>
      <x:c r="I68" s="15" t="n">
        <x:f>IF(COUNTIFS($B$20:$B$219,"A0",$D$20:$D$219,D68,$E$20:$E$219,E68)&lt;&gt;1,"",SUMIFS($F$20:$F$219,$B$20:$B$219,"A0",$D$20:$D$219,D68,$E$20:$E$219,E68))</x:f>
        <x:v>207580</x:v>
      </x:c>
      <x:c r="J68" s="21" t="n">
        <x:f>IF(OR(I68="",F68="",F68&lt;=0),"",I68/F68)</x:f>
        <x:v>2.9284051632926573</x:v>
      </x:c>
      <x:c r="K68" s="12" t="str">
        <x:v>160 MHz đạt STA; chu kỳ từ regression cũ, 36/36 RTL khớp regression</x:v>
      </x:c>
      <x:c r="L68" s="12" t="str">
        <x:v>D:/ML_KEM_768_1024/09_reports/streaming_balanced_4bu/run_20261024_012050_666/tb_mlkem_service_core.log</x:v>
      </x:c>
      <x:c r="M68" s="2"/>
      <x:c r="N68" s="2"/>
    </x:row>
    <x:row r="69" ht="68" customHeight="1">
      <x:c r="A69" s="12" t="str">
        <x:v>A5_768_Encaps</x:v>
      </x:c>
      <x:c r="B69" s="12" t="str">
        <x:v>A5</x:v>
      </x:c>
      <x:c r="C69" s="12" t="str">
        <x:v>A5_SIM_20261024_012050_666</x:v>
      </x:c>
      <x:c r="D69" s="12" t="str">
        <x:v>768</x:v>
      </x:c>
      <x:c r="E69" s="12" t="str">
        <x:v>Encaps</x:v>
      </x:c>
      <x:c r="F69" s="15" t="n">
        <x:v>94364</x:v>
      </x:c>
      <x:c r="G69" s="12" t="n">
        <x:v>160</x:v>
      </x:c>
      <x:c r="H69" s="18" t="n">
        <x:f>IF(OR(F69="",G69="",G69&lt;=0),"",F69/G69)</x:f>
        <x:v>589.775</x:v>
      </x:c>
      <x:c r="I69" s="15" t="n">
        <x:f>IF(COUNTIFS($B$20:$B$219,"A0",$D$20:$D$219,D69,$E$20:$E$219,E69)&lt;&gt;1,"",SUMIFS($F$20:$F$219,$B$20:$B$219,"A0",$D$20:$D$219,D69,$E$20:$E$219,E69))</x:f>
        <x:v>263538</x:v>
      </x:c>
      <x:c r="J69" s="21" t="n">
        <x:f>IF(OR(I69="",F69="",F69&lt;=0),"",I69/F69)</x:f>
        <x:v>2.7927811453520412</x:v>
      </x:c>
      <x:c r="K69" s="12" t="str">
        <x:v>160 MHz đạt STA; chu kỳ từ regression cũ, 36/36 RTL khớp regression</x:v>
      </x:c>
      <x:c r="L69" s="12" t="str">
        <x:v>D:/ML_KEM_768_1024/09_reports/streaming_balanced_4bu/run_20261024_012050_666/tb_mlkem_service_core.log</x:v>
      </x:c>
      <x:c r="M69" s="2"/>
      <x:c r="N69" s="2"/>
    </x:row>
    <x:row r="70" ht="68" customHeight="1">
      <x:c r="A70" s="12" t="str">
        <x:v>A5_768_Decaps</x:v>
      </x:c>
      <x:c r="B70" s="12" t="str">
        <x:v>A5</x:v>
      </x:c>
      <x:c r="C70" s="12" t="str">
        <x:v>A5_SIM_20261024_012050_666</x:v>
      </x:c>
      <x:c r="D70" s="12" t="str">
        <x:v>768</x:v>
      </x:c>
      <x:c r="E70" s="12" t="str">
        <x:v>Decaps</x:v>
      </x:c>
      <x:c r="F70" s="15" t="n">
        <x:v>130510</x:v>
      </x:c>
      <x:c r="G70" s="12" t="n">
        <x:v>160</x:v>
      </x:c>
      <x:c r="H70" s="18" t="n">
        <x:f>IF(OR(F70="",G70="",G70&lt;=0),"",F70/G70)</x:f>
        <x:v>815.6875</x:v>
      </x:c>
      <x:c r="I70" s="15" t="n">
        <x:f>IF(COUNTIFS($B$20:$B$219,"A0",$D$20:$D$219,D70,$E$20:$E$219,E70)&lt;&gt;1,"",SUMIFS($F$20:$F$219,$B$20:$B$219,"A0",$D$20:$D$219,D70,$E$20:$E$219,E70))</x:f>
        <x:v>362654</x:v>
      </x:c>
      <x:c r="J70" s="21" t="n">
        <x:f>IF(OR(I70="",F70="",F70&lt;=0),"",I70/F70)</x:f>
        <x:v>2.778744923760631</x:v>
      </x:c>
      <x:c r="K70" s="12" t="str">
        <x:v>160 MHz đạt STA; chu kỳ từ regression cũ, 36/36 RTL khớp regression</x:v>
      </x:c>
      <x:c r="L70" s="12" t="str">
        <x:v>D:/ML_KEM_768_1024/09_reports/streaming_balanced_4bu/run_20261024_012050_666/tb_mlkem_service_core.log</x:v>
      </x:c>
      <x:c r="M70" s="2"/>
      <x:c r="N70" s="2"/>
    </x:row>
    <x:row r="71" ht="68" customHeight="1">
      <x:c r="A71" s="12" t="str">
        <x:v>A5_1024_KeyGen</x:v>
      </x:c>
      <x:c r="B71" s="12" t="str">
        <x:v>A5</x:v>
      </x:c>
      <x:c r="C71" s="12" t="str">
        <x:v>A5_SIM_20261024_012050_666</x:v>
      </x:c>
      <x:c r="D71" s="12" t="str">
        <x:v>1024</x:v>
      </x:c>
      <x:c r="E71" s="12" t="str">
        <x:v>KeyGen</x:v>
      </x:c>
      <x:c r="F71" s="15" t="n">
        <x:v>112617</x:v>
      </x:c>
      <x:c r="G71" s="12" t="n">
        <x:v>160</x:v>
      </x:c>
      <x:c r="H71" s="18" t="n">
        <x:f>IF(OR(F71="",G71="",G71&lt;=0),"",F71/G71)</x:f>
        <x:v>703.85625</x:v>
      </x:c>
      <x:c r="I71" s="15" t="n">
        <x:f>IF(COUNTIFS($B$20:$B$219,"A0",$D$20:$D$219,D71,$E$20:$E$219,E71)&lt;&gt;1,"",SUMIFS($F$20:$F$219,$B$20:$B$219,"A0",$D$20:$D$219,D71,$E$20:$E$219,E71))</x:f>
        <x:v>319198</x:v>
      </x:c>
      <x:c r="J71" s="21" t="n">
        <x:f>IF(OR(I71="",F71="",F71&lt;=0),"",I71/F71)</x:f>
        <x:v>2.8343678130300045</x:v>
      </x:c>
      <x:c r="K71" s="12" t="str">
        <x:v>160 MHz đạt STA; chu kỳ từ regression cũ, 36/36 RTL khớp regression</x:v>
      </x:c>
      <x:c r="L71" s="12" t="str">
        <x:v>D:/ML_KEM_768_1024/09_reports/streaming_balanced_4bu/run_20261024_012050_666/tb_mlkem_service_core.log</x:v>
      </x:c>
      <x:c r="M71" s="2"/>
      <x:c r="N71" s="2"/>
    </x:row>
    <x:row r="72" ht="68" customHeight="1">
      <x:c r="A72" s="12" t="str">
        <x:v>A5_1024_Encaps</x:v>
      </x:c>
      <x:c r="B72" s="12" t="str">
        <x:v>A5</x:v>
      </x:c>
      <x:c r="C72" s="12" t="str">
        <x:v>A5_SIM_20261024_012050_666</x:v>
      </x:c>
      <x:c r="D72" s="12" t="str">
        <x:v>1024</x:v>
      </x:c>
      <x:c r="E72" s="12" t="str">
        <x:v>Encaps</x:v>
      </x:c>
      <x:c r="F72" s="15" t="n">
        <x:v>141525</x:v>
      </x:c>
      <x:c r="G72" s="12" t="n">
        <x:v>160</x:v>
      </x:c>
      <x:c r="H72" s="18" t="n">
        <x:f>IF(OR(F72="",G72="",G72&lt;=0),"",F72/G72)</x:f>
        <x:v>884.53125</x:v>
      </x:c>
      <x:c r="I72" s="15" t="n">
        <x:f>IF(COUNTIFS($B$20:$B$219,"A0",$D$20:$D$219,D72,$E$20:$E$219,E72)&lt;&gt;1,"",SUMIFS($F$20:$F$219,$B$20:$B$219,"A0",$D$20:$D$219,D72,$E$20:$E$219,E72))</x:f>
        <x:v>386366</x:v>
      </x:c>
      <x:c r="J72" s="21" t="n">
        <x:f>IF(OR(I72="",F72="",F72&lt;=0),"",I72/F72)</x:f>
        <x:v>2.7300194311959016</x:v>
      </x:c>
      <x:c r="K72" s="12" t="str">
        <x:v>160 MHz đạt STA; chu kỳ từ regression cũ, 36/36 RTL khớp regression</x:v>
      </x:c>
      <x:c r="L72" s="12" t="str">
        <x:v>D:/ML_KEM_768_1024/09_reports/streaming_balanced_4bu/run_20261024_012050_666/tb_mlkem_service_core.log</x:v>
      </x:c>
      <x:c r="M72" s="2"/>
      <x:c r="N72" s="2"/>
    </x:row>
    <x:row r="73" ht="68" customHeight="1">
      <x:c r="A73" s="12" t="str">
        <x:v>A5_1024_Decaps</x:v>
      </x:c>
      <x:c r="B73" s="12" t="str">
        <x:v>A5</x:v>
      </x:c>
      <x:c r="C73" s="12" t="str">
        <x:v>A5_SIM_20261024_012050_666</x:v>
      </x:c>
      <x:c r="D73" s="12" t="str">
        <x:v>1024</x:v>
      </x:c>
      <x:c r="E73" s="12" t="str">
        <x:v>Decaps</x:v>
      </x:c>
      <x:c r="F73" s="15" t="n">
        <x:v>187731</x:v>
      </x:c>
      <x:c r="G73" s="12" t="n">
        <x:v>160</x:v>
      </x:c>
      <x:c r="H73" s="18" t="n">
        <x:f>IF(OR(F73="",G73="",G73&lt;=0),"",F73/G73)</x:f>
        <x:v>1173.31875</x:v>
      </x:c>
      <x:c r="I73" s="15" t="n">
        <x:f>IF(COUNTIFS($B$20:$B$219,"A0",$D$20:$D$219,D73,$E$20:$E$219,E73)&lt;&gt;1,"",SUMIFS($F$20:$F$219,$B$20:$B$219,"A0",$D$20:$D$219,D73,$E$20:$E$219,E73))</x:f>
        <x:v>512312</x:v>
      </x:c>
      <x:c r="J73" s="21" t="n">
        <x:f>IF(OR(I73="",F73="",F73&lt;=0),"",I73/F73)</x:f>
        <x:v>2.7289685773793355</x:v>
      </x:c>
      <x:c r="K73" s="12" t="str">
        <x:v>160 MHz đạt STA; chu kỳ từ regression cũ, 36/36 RTL khớp regression</x:v>
      </x:c>
      <x:c r="L73" s="12" t="str">
        <x:v>D:/ML_KEM_768_1024/09_reports/streaming_balanced_4bu/run_20261024_012050_666/tb_mlkem_service_core.log</x:v>
      </x:c>
      <x:c r="M73" s="2"/>
      <x:c r="N73" s="2"/>
    </x:row>
    <x:row r="74" ht="68" customHeight="1">
      <x:c r="A74" s="12" t="str">
        <x:v>SB2_256 hệ số_NTT</x:v>
      </x:c>
      <x:c r="B74" s="12" t="str">
        <x:v>SB2</x:v>
      </x:c>
      <x:c r="C74" s="12" t="str">
        <x:v>SB2_SIM_20261025_051014_757</x:v>
      </x:c>
      <x:c r="D74" s="12" t="str">
        <x:v>256 hệ số</x:v>
      </x:c>
      <x:c r="E74" s="12" t="str">
        <x:v>NTT</x:v>
      </x:c>
      <x:c r="F74" s="15" t="n">
        <x:v>459</x:v>
      </x:c>
      <x:c r="G74" s="12" t="n">
        <x:v>160</x:v>
      </x:c>
      <x:c r="H74" s="18" t="n">
        <x:f>IF(OR(F74="",G74="",G74&lt;=0),"",F74/G74)</x:f>
        <x:v>2.86875</x:v>
      </x:c>
      <x:c r="I74" s="15" t="n">
        <x:f>IF(COUNTIFS($B$17:$B$216,"A0",$D$17:$D$216,D74,$E$17:$E$216,E74)&lt;&gt;1,"",SUMIFS($F$17:$F$216,$B$17:$B$216,"A0",$D$17:$D$216,D74,$E$17:$E$216,E74))</x:f>
        <x:v>9984</x:v>
      </x:c>
      <x:c r="J74" s="21" t="n">
        <x:f>IF(OR(I74="",F74="",F74&lt;=0),"",I74/F74)</x:f>
        <x:v>21.751633986928105</x:v>
      </x:c>
      <x:c r="K74" s="12" t="str">
        <x:v>160 MHz mục tiêu; chưa đạt setup. Latency chỉ quy đổi từ RTL.</x:v>
      </x:c>
      <x:c r="L74" s="12" t="str">
        <x:v>D:/ML_KEM_768_1024/09_reports/streaming_balanced_2bu/run_20261025_051014_757/tb_ntt_intt.log</x:v>
      </x:c>
      <x:c r="M74" s="2"/>
      <x:c r="N74" s="2"/>
    </x:row>
    <x:row r="75" ht="68" customHeight="1">
      <x:c r="A75" s="12" t="str">
        <x:v>SB2_256 hệ số_INTT</x:v>
      </x:c>
      <x:c r="B75" s="12" t="str">
        <x:v>SB2</x:v>
      </x:c>
      <x:c r="C75" s="12" t="str">
        <x:v>SB2_SIM_20261025_051014_757</x:v>
      </x:c>
      <x:c r="D75" s="12" t="str">
        <x:v>256 hệ số</x:v>
      </x:c>
      <x:c r="E75" s="12" t="str">
        <x:v>INTT</x:v>
      </x:c>
      <x:c r="F75" s="15" t="n">
        <x:v>459</x:v>
      </x:c>
      <x:c r="G75" s="12" t="n">
        <x:v>160</x:v>
      </x:c>
      <x:c r="H75" s="18" t="n">
        <x:f>IF(OR(F75="",G75="",G75&lt;=0),"",F75/G75)</x:f>
        <x:v>2.86875</x:v>
      </x:c>
      <x:c r="I75" s="15" t="n">
        <x:f>IF(COUNTIFS($B$17:$B$216,"A0",$D$17:$D$216,D75,$E$17:$E$216,E75)&lt;&gt;1,"",SUMIFS($F$17:$F$216,$B$17:$B$216,"A0",$D$17:$D$216,D75,$E$17:$E$216,E75))</x:f>
        <x:v>12800</x:v>
      </x:c>
      <x:c r="J75" s="21" t="n">
        <x:f>IF(OR(I75="",F75="",F75&lt;=0),"",I75/F75)</x:f>
        <x:v>27.886710239651418</x:v>
      </x:c>
      <x:c r="K75" s="12" t="str">
        <x:v>160 MHz mục tiêu; chưa đạt setup. Latency chỉ quy đổi từ RTL.</x:v>
      </x:c>
      <x:c r="L75" s="12" t="str">
        <x:v>D:/ML_KEM_768_1024/09_reports/streaming_balanced_2bu/run_20261025_051014_757/tb_ntt_intt.log</x:v>
      </x:c>
      <x:c r="M75" s="2"/>
      <x:c r="N75" s="2"/>
    </x:row>
    <x:row r="76" ht="68" customHeight="1">
      <x:c r="A76" s="12" t="str">
        <x:v>SB2_256 hệ số_MultiplyNTTs</x:v>
      </x:c>
      <x:c r="B76" s="12" t="str">
        <x:v>SB2</x:v>
      </x:c>
      <x:c r="C76" s="12" t="str">
        <x:v>SB2_SIM_20261025_051014_757</x:v>
      </x:c>
      <x:c r="D76" s="12" t="str">
        <x:v>256 hệ số</x:v>
      </x:c>
      <x:c r="E76" s="12" t="str">
        <x:v>MultiplyNTTs</x:v>
      </x:c>
      <x:c r="F76" s="15" t="n">
        <x:v>143</x:v>
      </x:c>
      <x:c r="G76" s="12" t="n">
        <x:v>160</x:v>
      </x:c>
      <x:c r="H76" s="18" t="n">
        <x:f>IF(OR(F76="",G76="",G76&lt;=0),"",F76/G76)</x:f>
        <x:v>0.89375</x:v>
      </x:c>
      <x:c r="I76" s="15" t="n">
        <x:f>IF(COUNTIFS($B$17:$B$216,"A0",$D$17:$D$216,D76,$E$17:$E$216,E76)&lt;&gt;1,"",SUMIFS($F$17:$F$216,$B$17:$B$216,"A0",$D$17:$D$216,D76,$E$17:$E$216,E76))</x:f>
        <x:v>2433</x:v>
      </x:c>
      <x:c r="J76" s="21" t="n">
        <x:f>IF(OR(I76="",F76="",F76&lt;=0),"",I76/F76)</x:f>
        <x:v>17.013986013986013</x:v>
      </x:c>
      <x:c r="K76" s="12" t="str">
        <x:v>160 MHz mục tiêu; chưa đạt setup. Latency chỉ quy đổi từ RTL.</x:v>
      </x:c>
      <x:c r="L76" s="12" t="str">
        <x:v>D:/ML_KEM_768_1024/09_reports/streaming_balanced_2bu/run_20261025_051014_757/tb_multiply_ntts.log</x:v>
      </x:c>
      <x:c r="M76" s="2"/>
      <x:c r="N76" s="2"/>
    </x:row>
    <x:row r="77" ht="68" customHeight="1">
      <x:c r="A77" s="12" t="str">
        <x:v>SB2_768_KeyGen</x:v>
      </x:c>
      <x:c r="B77" s="12" t="str">
        <x:v>SB2</x:v>
      </x:c>
      <x:c r="C77" s="12" t="str">
        <x:v>SB2_SIM_20261025_051014_757</x:v>
      </x:c>
      <x:c r="D77" s="12" t="str">
        <x:v>768</x:v>
      </x:c>
      <x:c r="E77" s="12" t="str">
        <x:v>KeyGen</x:v>
      </x:c>
      <x:c r="F77" s="15" t="n">
        <x:v>72229</x:v>
      </x:c>
      <x:c r="G77" s="12" t="n">
        <x:v>160</x:v>
      </x:c>
      <x:c r="H77" s="18" t="n">
        <x:f>IF(OR(F77="",G77="",G77&lt;=0),"",F77/G77)</x:f>
        <x:v>451.43125</x:v>
      </x:c>
      <x:c r="I77" s="15" t="n">
        <x:f>IF(COUNTIFS($B$17:$B$216,"A0",$D$17:$D$216,D77,$E$17:$E$216,E77)&lt;&gt;1,"",SUMIFS($F$17:$F$216,$B$17:$B$216,"A0",$D$17:$D$216,D77,$E$17:$E$216,E77))</x:f>
        <x:v>207580</x:v>
      </x:c>
      <x:c r="J77" s="21" t="n">
        <x:f>IF(OR(I77="",F77="",F77&lt;=0),"",I77/F77)</x:f>
        <x:v>2.8739149095238754</x:v>
      </x:c>
      <x:c r="K77" s="12" t="str">
        <x:v>160 MHz mục tiêu; chưa đạt setup. Latency chỉ quy đổi từ RTL.</x:v>
      </x:c>
      <x:c r="L77" s="12" t="str">
        <x:v>D:/ML_KEM_768_1024/09_reports/streaming_balanced_2bu/run_20261025_051014_757/tb_mlkem_service_core.log</x:v>
      </x:c>
      <x:c r="M77" s="2"/>
      <x:c r="N77" s="2"/>
    </x:row>
    <x:row r="78" ht="68" customHeight="1">
      <x:c r="A78" s="12" t="str">
        <x:v>SB2_768_Encaps</x:v>
      </x:c>
      <x:c r="B78" s="12" t="str">
        <x:v>SB2</x:v>
      </x:c>
      <x:c r="C78" s="12" t="str">
        <x:v>SB2_SIM_20261025_051014_757</x:v>
      </x:c>
      <x:c r="D78" s="12" t="str">
        <x:v>768</x:v>
      </x:c>
      <x:c r="E78" s="12" t="str">
        <x:v>Encaps</x:v>
      </x:c>
      <x:c r="F78" s="15" t="n">
        <x:v>95932</x:v>
      </x:c>
      <x:c r="G78" s="12" t="n">
        <x:v>160</x:v>
      </x:c>
      <x:c r="H78" s="18" t="n">
        <x:f>IF(OR(F78="",G78="",G78&lt;=0),"",F78/G78)</x:f>
        <x:v>599.575</x:v>
      </x:c>
      <x:c r="I78" s="15" t="n">
        <x:f>IF(COUNTIFS($B$17:$B$216,"A0",$D$17:$D$216,D78,$E$17:$E$216,E78)&lt;&gt;1,"",SUMIFS($F$17:$F$216,$B$17:$B$216,"A0",$D$17:$D$216,D78,$E$17:$E$216,E78))</x:f>
        <x:v>263538</x:v>
      </x:c>
      <x:c r="J78" s="21" t="n">
        <x:f>IF(OR(I78="",F78="",F78&lt;=0),"",I78/F78)</x:f>
        <x:v>2.747133386148522</x:v>
      </x:c>
      <x:c r="K78" s="12" t="str">
        <x:v>160 MHz mục tiêu; chưa đạt setup. Latency chỉ quy đổi từ RTL.</x:v>
      </x:c>
      <x:c r="L78" s="12" t="str">
        <x:v>D:/ML_KEM_768_1024/09_reports/streaming_balanced_2bu/run_20261025_051014_757/tb_mlkem_service_core.log</x:v>
      </x:c>
      <x:c r="M78" s="2"/>
      <x:c r="N78" s="2"/>
    </x:row>
    <x:row r="79" ht="68" customHeight="1">
      <x:c r="A79" s="12" t="str">
        <x:v>SB2_768_Decaps</x:v>
      </x:c>
      <x:c r="B79" s="12" t="str">
        <x:v>SB2</x:v>
      </x:c>
      <x:c r="C79" s="12" t="str">
        <x:v>SB2_SIM_20261025_051014_757</x:v>
      </x:c>
      <x:c r="D79" s="12" t="str">
        <x:v>768</x:v>
      </x:c>
      <x:c r="E79" s="12" t="str">
        <x:v>Decaps</x:v>
      </x:c>
      <x:c r="F79" s="15" t="n">
        <x:v>132974</x:v>
      </x:c>
      <x:c r="G79" s="12" t="n">
        <x:v>160</x:v>
      </x:c>
      <x:c r="H79" s="18" t="n">
        <x:f>IF(OR(F79="",G79="",G79&lt;=0),"",F79/G79)</x:f>
        <x:v>831.0875</x:v>
      </x:c>
      <x:c r="I79" s="15" t="n">
        <x:f>IF(COUNTIFS($B$17:$B$216,"A0",$D$17:$D$216,D79,$E$17:$E$216,E79)&lt;&gt;1,"",SUMIFS($F$17:$F$216,$B$17:$B$216,"A0",$D$17:$D$216,D79,$E$17:$E$216,E79))</x:f>
        <x:v>362654</x:v>
      </x:c>
      <x:c r="J79" s="21" t="n">
        <x:f>IF(OR(I79="",F79="",F79&lt;=0),"",I79/F79)</x:f>
        <x:v>2.7272549520958984</x:v>
      </x:c>
      <x:c r="K79" s="12" t="str">
        <x:v>160 MHz mục tiêu; chưa đạt setup. Latency chỉ quy đổi từ RTL.</x:v>
      </x:c>
      <x:c r="L79" s="12" t="str">
        <x:v>D:/ML_KEM_768_1024/09_reports/streaming_balanced_2bu/run_20261025_051014_757/tb_mlkem_service_core.log</x:v>
      </x:c>
      <x:c r="M79" s="2"/>
      <x:c r="N79" s="2"/>
    </x:row>
    <x:row r="80" ht="68" customHeight="1">
      <x:c r="A80" s="12" t="str">
        <x:v>SB2_1024_KeyGen</x:v>
      </x:c>
      <x:c r="B80" s="12" t="str">
        <x:v>SB2</x:v>
      </x:c>
      <x:c r="C80" s="12" t="str">
        <x:v>SB2_SIM_20261025_051014_757</x:v>
      </x:c>
      <x:c r="D80" s="12" t="str">
        <x:v>1024</x:v>
      </x:c>
      <x:c r="E80" s="12" t="str">
        <x:v>KeyGen</x:v>
      </x:c>
      <x:c r="F80" s="15" t="n">
        <x:v>114409</x:v>
      </x:c>
      <x:c r="G80" s="12" t="n">
        <x:v>160</x:v>
      </x:c>
      <x:c r="H80" s="18" t="n">
        <x:f>IF(OR(F80="",G80="",G80&lt;=0),"",F80/G80)</x:f>
        <x:v>715.05625</x:v>
      </x:c>
      <x:c r="I80" s="15" t="n">
        <x:f>IF(COUNTIFS($B$17:$B$216,"A0",$D$17:$D$216,D80,$E$17:$E$216,E80)&lt;&gt;1,"",SUMIFS($F$17:$F$216,$B$17:$B$216,"A0",$D$17:$D$216,D80,$E$17:$E$216,E80))</x:f>
        <x:v>319198</x:v>
      </x:c>
      <x:c r="J80" s="21" t="n">
        <x:f>IF(OR(I80="",F80="",F80&lt;=0),"",I80/F80)</x:f>
        <x:v>2.7899728168238513</x:v>
      </x:c>
      <x:c r="K80" s="12" t="str">
        <x:v>160 MHz mục tiêu; chưa đạt setup. Latency chỉ quy đổi từ RTL.</x:v>
      </x:c>
      <x:c r="L80" s="12" t="str">
        <x:v>D:/ML_KEM_768_1024/09_reports/streaming_balanced_2bu/run_20261025_051014_757/tb_mlkem_service_core.log</x:v>
      </x:c>
      <x:c r="M80" s="2"/>
      <x:c r="N80" s="2"/>
    </x:row>
    <x:row r="81" ht="68" customHeight="1">
      <x:c r="A81" s="12" t="str">
        <x:v>SB2_1024_Encaps</x:v>
      </x:c>
      <x:c r="B81" s="12" t="str">
        <x:v>SB2</x:v>
      </x:c>
      <x:c r="C81" s="12" t="str">
        <x:v>SB2_SIM_20261025_051014_757</x:v>
      </x:c>
      <x:c r="D81" s="12" t="str">
        <x:v>1024</x:v>
      </x:c>
      <x:c r="E81" s="12" t="str">
        <x:v>Encaps</x:v>
      </x:c>
      <x:c r="F81" s="15" t="n">
        <x:v>143541</x:v>
      </x:c>
      <x:c r="G81" s="12" t="n">
        <x:v>160</x:v>
      </x:c>
      <x:c r="H81" s="18" t="n">
        <x:f>IF(OR(F81="",G81="",G81&lt;=0),"",F81/G81)</x:f>
        <x:v>897.13125</x:v>
      </x:c>
      <x:c r="I81" s="15" t="n">
        <x:f>IF(COUNTIFS($B$17:$B$216,"A0",$D$17:$D$216,D81,$E$17:$E$216,E81)&lt;&gt;1,"",SUMIFS($F$17:$F$216,$B$17:$B$216,"A0",$D$17:$D$216,D81,$E$17:$E$216,E81))</x:f>
        <x:v>386366</x:v>
      </x:c>
      <x:c r="J81" s="21" t="n">
        <x:f>IF(OR(I81="",F81="",F81&lt;=0),"",I81/F81)</x:f>
        <x:v>2.6916769424763656</x:v>
      </x:c>
      <x:c r="K81" s="12" t="str">
        <x:v>160 MHz mục tiêu; chưa đạt setup. Latency chỉ quy đổi từ RTL.</x:v>
      </x:c>
      <x:c r="L81" s="12" t="str">
        <x:v>D:/ML_KEM_768_1024/09_reports/streaming_balanced_2bu/run_20261025_051014_757/tb_mlkem_service_core.log</x:v>
      </x:c>
      <x:c r="M81" s="2"/>
      <x:c r="N81" s="2"/>
    </x:row>
    <x:row r="82" ht="68" customHeight="1">
      <x:c r="A82" s="12" t="str">
        <x:v>SB2_1024_Decaps</x:v>
      </x:c>
      <x:c r="B82" s="12" t="str">
        <x:v>SB2</x:v>
      </x:c>
      <x:c r="C82" s="12" t="str">
        <x:v>SB2_SIM_20261025_051014_757</x:v>
      </x:c>
      <x:c r="D82" s="12" t="str">
        <x:v>1024</x:v>
      </x:c>
      <x:c r="E82" s="12" t="str">
        <x:v>Decaps</x:v>
      </x:c>
      <x:c r="F82" s="15" t="n">
        <x:v>190867</x:v>
      </x:c>
      <x:c r="G82" s="12" t="n">
        <x:v>160</x:v>
      </x:c>
      <x:c r="H82" s="18" t="n">
        <x:f>IF(OR(F82="",G82="",G82&lt;=0),"",F82/G82)</x:f>
        <x:v>1192.91875</x:v>
      </x:c>
      <x:c r="I82" s="15" t="n">
        <x:f>IF(COUNTIFS($B$17:$B$216,"A0",$D$17:$D$216,D82,$E$17:$E$216,E82)&lt;&gt;1,"",SUMIFS($F$17:$F$216,$B$17:$B$216,"A0",$D$17:$D$216,D82,$E$17:$E$216,E82))</x:f>
        <x:v>512312</x:v>
      </x:c>
      <x:c r="J82" s="21" t="n">
        <x:f>IF(OR(I82="",F82="",F82&lt;=0),"",I82/F82)</x:f>
        <x:v>2.6841308345601913</x:v>
      </x:c>
      <x:c r="K82" s="12" t="str">
        <x:v>160 MHz mục tiêu; chưa đạt setup. Latency chỉ quy đổi từ RTL.</x:v>
      </x:c>
      <x:c r="L82" s="12" t="str">
        <x:v>D:/ML_KEM_768_1024/09_reports/streaming_balanced_2bu/run_20261025_051014_757/tb_mlkem_service_core.log</x:v>
      </x:c>
      <x:c r="M82" s="2"/>
      <x:c r="N82" s="2"/>
    </x:row>
    <x:row r="83" ht="68" customHeight="1">
      <x:c r="A83" s="12" t="str">
        <x:v>SB8_256 hệ số_NTT</x:v>
      </x:c>
      <x:c r="B83" s="12" t="str">
        <x:v>SB8</x:v>
      </x:c>
      <x:c r="C83" s="12" t="str">
        <x:v>SB8_SIM_20261025_051014_919</x:v>
      </x:c>
      <x:c r="D83" s="12" t="str">
        <x:v>256 hệ số</x:v>
      </x:c>
      <x:c r="E83" s="12" t="str">
        <x:v>NTT</x:v>
      </x:c>
      <x:c r="F83" s="15" t="n">
        <x:v>127</x:v>
      </x:c>
      <x:c r="G83" s="12" t="n">
        <x:v>160</x:v>
      </x:c>
      <x:c r="H83" s="18" t="n">
        <x:f>IF(OR(F83="",G83="",G83&lt;=0),"",F83/G83)</x:f>
        <x:v>0.79375</x:v>
      </x:c>
      <x:c r="I83" s="15" t="n">
        <x:f>IF(COUNTIFS($B$17:$B$216,"A0",$D$17:$D$216,D83,$E$17:$E$216,E83)&lt;&gt;1,"",SUMIFS($F$17:$F$216,$B$17:$B$216,"A0",$D$17:$D$216,D83,$E$17:$E$216,E83))</x:f>
        <x:v>9984</x:v>
      </x:c>
      <x:c r="J83" s="21" t="n">
        <x:f>IF(OR(I83="",F83="",F83&lt;=0),"",I83/F83)</x:f>
        <x:v>78.61417322834646</x:v>
      </x:c>
      <x:c r="K83" s="12" t="str">
        <x:v>160 MHz mục tiêu; chưa đạt setup. Latency chỉ quy đổi từ RTL.</x:v>
      </x:c>
      <x:c r="L83" s="12" t="str">
        <x:v>D:/ML_KEM_768_1024/09_reports/streaming_balanced_8bu/run_20261025_051014_919/tb_ntt_intt.log</x:v>
      </x:c>
      <x:c r="M83" s="2"/>
      <x:c r="N83" s="2"/>
    </x:row>
    <x:row r="84" ht="68" customHeight="1">
      <x:c r="A84" s="12" t="str">
        <x:v>SB8_256 hệ số_INTT</x:v>
      </x:c>
      <x:c r="B84" s="12" t="str">
        <x:v>SB8</x:v>
      </x:c>
      <x:c r="C84" s="12" t="str">
        <x:v>SB8_SIM_20261025_051014_919</x:v>
      </x:c>
      <x:c r="D84" s="12" t="str">
        <x:v>256 hệ số</x:v>
      </x:c>
      <x:c r="E84" s="12" t="str">
        <x:v>INTT</x:v>
      </x:c>
      <x:c r="F84" s="15" t="n">
        <x:v>127</x:v>
      </x:c>
      <x:c r="G84" s="12" t="n">
        <x:v>160</x:v>
      </x:c>
      <x:c r="H84" s="18" t="n">
        <x:f>IF(OR(F84="",G84="",G84&lt;=0),"",F84/G84)</x:f>
        <x:v>0.79375</x:v>
      </x:c>
      <x:c r="I84" s="15" t="n">
        <x:f>IF(COUNTIFS($B$17:$B$216,"A0",$D$17:$D$216,D84,$E$17:$E$216,E84)&lt;&gt;1,"",SUMIFS($F$17:$F$216,$B$17:$B$216,"A0",$D$17:$D$216,D84,$E$17:$E$216,E84))</x:f>
        <x:v>12800</x:v>
      </x:c>
      <x:c r="J84" s="21" t="n">
        <x:f>IF(OR(I84="",F84="",F84&lt;=0),"",I84/F84)</x:f>
        <x:v>100.78740157480316</x:v>
      </x:c>
      <x:c r="K84" s="12" t="str">
        <x:v>160 MHz mục tiêu; chưa đạt setup. Latency chỉ quy đổi từ RTL.</x:v>
      </x:c>
      <x:c r="L84" s="12" t="str">
        <x:v>D:/ML_KEM_768_1024/09_reports/streaming_balanced_8bu/run_20261025_051014_919/tb_ntt_intt.log</x:v>
      </x:c>
      <x:c r="M84" s="2"/>
      <x:c r="N84" s="2"/>
    </x:row>
    <x:row r="85" ht="68" customHeight="1">
      <x:c r="A85" s="12" t="str">
        <x:v>SB8_256 hệ số_MultiplyNTTs</x:v>
      </x:c>
      <x:c r="B85" s="12" t="str">
        <x:v>SB8</x:v>
      </x:c>
      <x:c r="C85" s="12" t="str">
        <x:v>SB8_SIM_20261025_051014_919</x:v>
      </x:c>
      <x:c r="D85" s="12" t="str">
        <x:v>256 hệ số</x:v>
      </x:c>
      <x:c r="E85" s="12" t="str">
        <x:v>MultiplyNTTs</x:v>
      </x:c>
      <x:c r="F85" s="15" t="n">
        <x:v>143</x:v>
      </x:c>
      <x:c r="G85" s="12" t="n">
        <x:v>160</x:v>
      </x:c>
      <x:c r="H85" s="18" t="n">
        <x:f>IF(OR(F85="",G85="",G85&lt;=0),"",F85/G85)</x:f>
        <x:v>0.89375</x:v>
      </x:c>
      <x:c r="I85" s="15" t="n">
        <x:f>IF(COUNTIFS($B$17:$B$216,"A0",$D$17:$D$216,D85,$E$17:$E$216,E85)&lt;&gt;1,"",SUMIFS($F$17:$F$216,$B$17:$B$216,"A0",$D$17:$D$216,D85,$E$17:$E$216,E85))</x:f>
        <x:v>2433</x:v>
      </x:c>
      <x:c r="J85" s="21" t="n">
        <x:f>IF(OR(I85="",F85="",F85&lt;=0),"",I85/F85)</x:f>
        <x:v>17.013986013986013</x:v>
      </x:c>
      <x:c r="K85" s="12" t="str">
        <x:v>160 MHz mục tiêu; chưa đạt setup. Latency chỉ quy đổi từ RTL.</x:v>
      </x:c>
      <x:c r="L85" s="12" t="str">
        <x:v>D:/ML_KEM_768_1024/09_reports/streaming_balanced_8bu/run_20261025_051014_919/tb_multiply_ntts.log</x:v>
      </x:c>
      <x:c r="M85" s="2"/>
      <x:c r="N85" s="2"/>
    </x:row>
    <x:row r="86" ht="68" customHeight="1">
      <x:c r="A86" s="12" t="str">
        <x:v>SB8_768_KeyGen</x:v>
      </x:c>
      <x:c r="B86" s="12" t="str">
        <x:v>SB8</x:v>
      </x:c>
      <x:c r="C86" s="12" t="str">
        <x:v>SB8_SIM_20261025_051014_919</x:v>
      </x:c>
      <x:c r="D86" s="12" t="str">
        <x:v>768</x:v>
      </x:c>
      <x:c r="E86" s="12" t="str">
        <x:v>KeyGen</x:v>
      </x:c>
      <x:c r="F86" s="15" t="n">
        <x:v>70237</x:v>
      </x:c>
      <x:c r="G86" s="12" t="n">
        <x:v>160</x:v>
      </x:c>
      <x:c r="H86" s="18" t="n">
        <x:f>IF(OR(F86="",G86="",G86&lt;=0),"",F86/G86)</x:f>
        <x:v>438.98125</x:v>
      </x:c>
      <x:c r="I86" s="15" t="n">
        <x:f>IF(COUNTIFS($B$17:$B$216,"A0",$D$17:$D$216,D86,$E$17:$E$216,E86)&lt;&gt;1,"",SUMIFS($F$17:$F$216,$B$17:$B$216,"A0",$D$17:$D$216,D86,$E$17:$E$216,E86))</x:f>
        <x:v>207580</x:v>
      </x:c>
      <x:c r="J86" s="21" t="n">
        <x:f>IF(OR(I86="",F86="",F86&lt;=0),"",I86/F86)</x:f>
        <x:v>2.9554223557384285</x:v>
      </x:c>
      <x:c r="K86" s="12" t="str">
        <x:v>160 MHz mục tiêu; chưa đạt setup. Latency chỉ quy đổi từ RTL.</x:v>
      </x:c>
      <x:c r="L86" s="12" t="str">
        <x:v>D:/ML_KEM_768_1024/09_reports/streaming_balanced_8bu/run_20261025_051014_919/tb_mlkem_service_core.log</x:v>
      </x:c>
      <x:c r="M86" s="2"/>
      <x:c r="N86" s="2"/>
    </x:row>
    <x:row r="87" ht="68" customHeight="1">
      <x:c r="A87" s="12" t="str">
        <x:v>SB8_768_Encaps</x:v>
      </x:c>
      <x:c r="B87" s="12" t="str">
        <x:v>SB8</x:v>
      </x:c>
      <x:c r="C87" s="12" t="str">
        <x:v>SB8_SIM_20261025_051014_919</x:v>
      </x:c>
      <x:c r="D87" s="12" t="str">
        <x:v>768</x:v>
      </x:c>
      <x:c r="E87" s="12" t="str">
        <x:v>Encaps</x:v>
      </x:c>
      <x:c r="F87" s="15" t="n">
        <x:v>93608</x:v>
      </x:c>
      <x:c r="G87" s="12" t="n">
        <x:v>160</x:v>
      </x:c>
      <x:c r="H87" s="18" t="n">
        <x:f>IF(OR(F87="",G87="",G87&lt;=0),"",F87/G87)</x:f>
        <x:v>585.05</x:v>
      </x:c>
      <x:c r="I87" s="15" t="n">
        <x:f>IF(COUNTIFS($B$17:$B$216,"A0",$D$17:$D$216,D87,$E$17:$E$216,E87)&lt;&gt;1,"",SUMIFS($F$17:$F$216,$B$17:$B$216,"A0",$D$17:$D$216,D87,$E$17:$E$216,E87))</x:f>
        <x:v>263538</x:v>
      </x:c>
      <x:c r="J87" s="21" t="n">
        <x:f>IF(OR(I87="",F87="",F87&lt;=0),"",I87/F87)</x:f>
        <x:v>2.8153362960430734</x:v>
      </x:c>
      <x:c r="K87" s="12" t="str">
        <x:v>160 MHz mục tiêu; chưa đạt setup. Latency chỉ quy đổi từ RTL.</x:v>
      </x:c>
      <x:c r="L87" s="12" t="str">
        <x:v>D:/ML_KEM_768_1024/09_reports/streaming_balanced_8bu/run_20261025_051014_919/tb_mlkem_service_core.log</x:v>
      </x:c>
      <x:c r="M87" s="2"/>
      <x:c r="N87" s="2"/>
    </x:row>
    <x:row r="88" ht="68" customHeight="1">
      <x:c r="A88" s="12" t="str">
        <x:v>SB8_768_Decaps</x:v>
      </x:c>
      <x:c r="B88" s="12" t="str">
        <x:v>SB8</x:v>
      </x:c>
      <x:c r="C88" s="12" t="str">
        <x:v>SB8_SIM_20261025_051014_919</x:v>
      </x:c>
      <x:c r="D88" s="12" t="str">
        <x:v>768</x:v>
      </x:c>
      <x:c r="E88" s="12" t="str">
        <x:v>Decaps</x:v>
      </x:c>
      <x:c r="F88" s="15" t="n">
        <x:v>129322</x:v>
      </x:c>
      <x:c r="G88" s="12" t="n">
        <x:v>160</x:v>
      </x:c>
      <x:c r="H88" s="18" t="n">
        <x:f>IF(OR(F88="",G88="",G88&lt;=0),"",F88/G88)</x:f>
        <x:v>808.2625</x:v>
      </x:c>
      <x:c r="I88" s="15" t="n">
        <x:f>IF(COUNTIFS($B$17:$B$216,"A0",$D$17:$D$216,D88,$E$17:$E$216,E88)&lt;&gt;1,"",SUMIFS($F$17:$F$216,$B$17:$B$216,"A0",$D$17:$D$216,D88,$E$17:$E$216,E88))</x:f>
        <x:v>362654</x:v>
      </x:c>
      <x:c r="J88" s="21" t="n">
        <x:f>IF(OR(I88="",F88="",F88&lt;=0),"",I88/F88)</x:f>
        <x:v>2.8042715083280494</x:v>
      </x:c>
      <x:c r="K88" s="12" t="str">
        <x:v>160 MHz mục tiêu; chưa đạt setup. Latency chỉ quy đổi từ RTL.</x:v>
      </x:c>
      <x:c r="L88" s="12" t="str">
        <x:v>D:/ML_KEM_768_1024/09_reports/streaming_balanced_8bu/run_20261025_051014_919/tb_mlkem_service_core.log</x:v>
      </x:c>
      <x:c r="M88" s="2"/>
      <x:c r="N88" s="2"/>
    </x:row>
    <x:row r="89" ht="68" customHeight="1">
      <x:c r="A89" s="12" t="str">
        <x:v>SB8_1024_KeyGen</x:v>
      </x:c>
      <x:c r="B89" s="12" t="str">
        <x:v>SB8</x:v>
      </x:c>
      <x:c r="C89" s="12" t="str">
        <x:v>SB8_SIM_20261025_051014_919</x:v>
      </x:c>
      <x:c r="D89" s="12" t="str">
        <x:v>1024</x:v>
      </x:c>
      <x:c r="E89" s="12" t="str">
        <x:v>KeyGen</x:v>
      </x:c>
      <x:c r="F89" s="15" t="n">
        <x:v>111753</x:v>
      </x:c>
      <x:c r="G89" s="12" t="n">
        <x:v>160</x:v>
      </x:c>
      <x:c r="H89" s="18" t="n">
        <x:f>IF(OR(F89="",G89="",G89&lt;=0),"",F89/G89)</x:f>
        <x:v>698.45625</x:v>
      </x:c>
      <x:c r="I89" s="15" t="n">
        <x:f>IF(COUNTIFS($B$17:$B$216,"A0",$D$17:$D$216,D89,$E$17:$E$216,E89)&lt;&gt;1,"",SUMIFS($F$17:$F$216,$B$17:$B$216,"A0",$D$17:$D$216,D89,$E$17:$E$216,E89))</x:f>
        <x:v>319198</x:v>
      </x:c>
      <x:c r="J89" s="21" t="n">
        <x:f>IF(OR(I89="",F89="",F89&lt;=0),"",I89/F89)</x:f>
        <x:v>2.856281263142824</x:v>
      </x:c>
      <x:c r="K89" s="12" t="str">
        <x:v>160 MHz mục tiêu; chưa đạt setup. Latency chỉ quy đổi từ RTL.</x:v>
      </x:c>
      <x:c r="L89" s="12" t="str">
        <x:v>D:/ML_KEM_768_1024/09_reports/streaming_balanced_8bu/run_20261025_051014_919/tb_mlkem_service_core.log</x:v>
      </x:c>
      <x:c r="M89" s="2"/>
      <x:c r="N89" s="2"/>
    </x:row>
    <x:row r="90" ht="68" customHeight="1">
      <x:c r="A90" s="12" t="str">
        <x:v>SB8_1024_Encaps</x:v>
      </x:c>
      <x:c r="B90" s="12" t="str">
        <x:v>SB8</x:v>
      </x:c>
      <x:c r="C90" s="12" t="str">
        <x:v>SB8_SIM_20261025_051014_919</x:v>
      </x:c>
      <x:c r="D90" s="12" t="str">
        <x:v>1024</x:v>
      </x:c>
      <x:c r="E90" s="12" t="str">
        <x:v>Encaps</x:v>
      </x:c>
      <x:c r="F90" s="15" t="n">
        <x:v>140553</x:v>
      </x:c>
      <x:c r="G90" s="12" t="n">
        <x:v>160</x:v>
      </x:c>
      <x:c r="H90" s="18" t="n">
        <x:f>IF(OR(F90="",G90="",G90&lt;=0),"",F90/G90)</x:f>
        <x:v>878.45625</x:v>
      </x:c>
      <x:c r="I90" s="15" t="n">
        <x:f>IF(COUNTIFS($B$17:$B$216,"A0",$D$17:$D$216,D90,$E$17:$E$216,E90)&lt;&gt;1,"",SUMIFS($F$17:$F$216,$B$17:$B$216,"A0",$D$17:$D$216,D90,$E$17:$E$216,E90))</x:f>
        <x:v>386366</x:v>
      </x:c>
      <x:c r="J90" s="21" t="n">
        <x:f>IF(OR(I90="",F90="",F90&lt;=0),"",I90/F90)</x:f>
        <x:v>2.7488989918393774</x:v>
      </x:c>
      <x:c r="K90" s="12" t="str">
        <x:v>160 MHz mục tiêu; chưa đạt setup. Latency chỉ quy đổi từ RTL.</x:v>
      </x:c>
      <x:c r="L90" s="12" t="str">
        <x:v>D:/ML_KEM_768_1024/09_reports/streaming_balanced_8bu/run_20261025_051014_919/tb_mlkem_service_core.log</x:v>
      </x:c>
      <x:c r="M90" s="2"/>
      <x:c r="N90" s="2"/>
    </x:row>
    <x:row r="91" ht="68" customHeight="1">
      <x:c r="A91" s="12" t="str">
        <x:v>SB8_1024_Decaps</x:v>
      </x:c>
      <x:c r="B91" s="12" t="str">
        <x:v>SB8</x:v>
      </x:c>
      <x:c r="C91" s="12" t="str">
        <x:v>SB8_SIM_20261025_051014_919</x:v>
      </x:c>
      <x:c r="D91" s="12" t="str">
        <x:v>1024</x:v>
      </x:c>
      <x:c r="E91" s="12" t="str">
        <x:v>Decaps</x:v>
      </x:c>
      <x:c r="F91" s="15" t="n">
        <x:v>186219</x:v>
      </x:c>
      <x:c r="G91" s="12" t="n">
        <x:v>160</x:v>
      </x:c>
      <x:c r="H91" s="18" t="n">
        <x:f>IF(OR(F91="",G91="",G91&lt;=0),"",F91/G91)</x:f>
        <x:v>1163.86875</x:v>
      </x:c>
      <x:c r="I91" s="15" t="n">
        <x:f>IF(COUNTIFS($B$17:$B$216,"A0",$D$17:$D$216,D91,$E$17:$E$216,E91)&lt;&gt;1,"",SUMIFS($F$17:$F$216,$B$17:$B$216,"A0",$D$17:$D$216,D91,$E$17:$E$216,E91))</x:f>
        <x:v>512312</x:v>
      </x:c>
      <x:c r="J91" s="21" t="n">
        <x:f>IF(OR(I91="",F91="",F91&lt;=0),"",I91/F91)</x:f>
        <x:v>2.751126361971657</x:v>
      </x:c>
      <x:c r="K91" s="12" t="str">
        <x:v>160 MHz mục tiêu; chưa đạt setup. Latency chỉ quy đổi từ RTL.</x:v>
      </x:c>
      <x:c r="L91" s="12" t="str">
        <x:v>D:/ML_KEM_768_1024/09_reports/streaming_balanced_8bu/run_20261025_051014_919/tb_mlkem_service_core.log</x:v>
      </x:c>
      <x:c r="M91" s="2"/>
      <x:c r="N91" s="2"/>
    </x:row>
    <x:row r="92" ht="23" customHeight="1">
      <x:c r="A92" s="2"/>
      <x:c r="B92" s="2"/>
      <x:c r="C92" s="2"/>
      <x:c r="D92" s="2"/>
      <x:c r="E92" s="2"/>
      <x:c r="F92" s="2"/>
      <x:c r="G92" s="2"/>
      <x:c r="H92" s="2"/>
      <x:c r="I92" s="2"/>
      <x:c r="J92" s="2"/>
      <x:c r="K92" s="2"/>
      <x:c r="L92" s="2"/>
      <x:c r="M92" s="2"/>
      <x:c r="N92" s="2"/>
    </x:row>
    <x:row r="93" ht="23" customHeight="1">
      <x:c r="A93" s="2"/>
      <x:c r="B93" s="2"/>
      <x:c r="C93" s="2"/>
      <x:c r="D93" s="2"/>
      <x:c r="E93" s="2"/>
      <x:c r="F93" s="2"/>
      <x:c r="G93" s="2"/>
      <x:c r="H93" s="2"/>
      <x:c r="I93" s="2"/>
      <x:c r="J93" s="2"/>
      <x:c r="K93" s="2"/>
      <x:c r="L93" s="2"/>
      <x:c r="M93" s="2"/>
      <x:c r="N93" s="2"/>
    </x:row>
    <x:row r="94" ht="23" customHeight="1">
      <x:c r="A94" s="2"/>
      <x:c r="B94" s="2"/>
      <x:c r="C94" s="2"/>
      <x:c r="D94" s="2"/>
      <x:c r="E94" s="2"/>
      <x:c r="F94" s="2"/>
      <x:c r="G94" s="2"/>
      <x:c r="H94" s="2"/>
      <x:c r="I94" s="2"/>
      <x:c r="J94" s="2"/>
      <x:c r="K94" s="2"/>
      <x:c r="L94" s="2"/>
      <x:c r="M94" s="2"/>
      <x:c r="N94" s="2"/>
    </x:row>
    <x:row r="95" ht="23" customHeight="1">
      <x:c r="A95" s="2"/>
      <x:c r="B95" s="2"/>
      <x:c r="C95" s="2"/>
      <x:c r="D95" s="2"/>
      <x:c r="E95" s="2"/>
      <x:c r="F95" s="2"/>
      <x:c r="G95" s="2"/>
      <x:c r="H95" s="2"/>
      <x:c r="I95" s="2"/>
      <x:c r="J95" s="2"/>
      <x:c r="K95" s="2"/>
      <x:c r="L95" s="2"/>
      <x:c r="M95" s="2"/>
      <x:c r="N95" s="2"/>
    </x:row>
    <x:row r="96" ht="23" customHeight="1">
      <x:c r="A96" s="2"/>
      <x:c r="B96" s="2"/>
      <x:c r="C96" s="2"/>
      <x:c r="D96" s="2"/>
      <x:c r="E96" s="2"/>
      <x:c r="F96" s="2"/>
      <x:c r="G96" s="2"/>
      <x:c r="H96" s="2"/>
      <x:c r="I96" s="2"/>
      <x:c r="J96" s="2"/>
      <x:c r="K96" s="2"/>
      <x:c r="L96" s="2"/>
      <x:c r="M96" s="2"/>
      <x:c r="N96" s="2"/>
    </x:row>
    <x:row r="97" ht="23" customHeight="1">
      <x:c r="A97" s="2"/>
      <x:c r="B97" s="2"/>
      <x:c r="C97" s="2"/>
      <x:c r="D97" s="2"/>
      <x:c r="E97" s="2"/>
      <x:c r="F97" s="2"/>
      <x:c r="G97" s="2"/>
      <x:c r="H97" s="2"/>
      <x:c r="I97" s="2"/>
      <x:c r="J97" s="2"/>
      <x:c r="K97" s="2"/>
      <x:c r="L97" s="2"/>
      <x:c r="M97" s="2"/>
      <x:c r="N97" s="2"/>
    </x:row>
    <x:row r="98" ht="23" customHeight="1">
      <x:c r="A98" s="2"/>
      <x:c r="B98" s="2"/>
      <x:c r="C98" s="2"/>
      <x:c r="D98" s="2"/>
      <x:c r="E98" s="2"/>
      <x:c r="F98" s="2"/>
      <x:c r="G98" s="2"/>
      <x:c r="H98" s="2"/>
      <x:c r="I98" s="2"/>
      <x:c r="J98" s="2"/>
      <x:c r="K98" s="2"/>
      <x:c r="L98" s="2"/>
      <x:c r="M98" s="2"/>
      <x:c r="N98" s="2"/>
    </x:row>
    <x:row r="99" ht="23" customHeight="1">
      <x:c r="A99" s="2"/>
      <x:c r="B99" s="2"/>
      <x:c r="C99" s="2"/>
      <x:c r="D99" s="2"/>
      <x:c r="E99" s="2"/>
      <x:c r="F99" s="2"/>
      <x:c r="G99" s="2"/>
      <x:c r="H99" s="2"/>
      <x:c r="I99" s="2"/>
      <x:c r="J99" s="2"/>
      <x:c r="K99" s="2"/>
      <x:c r="L99" s="2"/>
      <x:c r="M99" s="2"/>
      <x:c r="N99" s="2"/>
    </x:row>
    <x:row r="100" ht="23" customHeight="1">
      <x:c r="A100" s="2"/>
      <x:c r="B100" s="2"/>
      <x:c r="C100" s="2"/>
      <x:c r="D100" s="2"/>
      <x:c r="E100" s="2"/>
      <x:c r="F100" s="2"/>
      <x:c r="G100" s="2"/>
      <x:c r="H100" s="2"/>
      <x:c r="I100" s="2"/>
      <x:c r="J100" s="2"/>
      <x:c r="K100" s="2"/>
      <x:c r="L100" s="2"/>
      <x:c r="M100" s="2"/>
      <x:c r="N100" s="2"/>
    </x:row>
  </x:sheetData>
  <x:pageMargins left="0.7" right="0.7" top="0.75" bottom="0.75" header="0.3" footer="0.3"/>
  <x:tableParts count="2">
    <x:tablePart xmlns:r="http://schemas.openxmlformats.org/officeDocument/2006/relationships" r:id="Re555fd11a54d493b"/>
    <x:tablePart xmlns:r="http://schemas.openxmlformats.org/officeDocument/2006/relationships" r:id="Rf046478766064faa"/>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7" hidden="0" customWidth="1"/>
    <x:col min="2" max="2" width="26" hidden="0" customWidth="1"/>
    <x:col min="3" max="3" width="11" hidden="0" customWidth="1"/>
    <x:col min="4" max="4" width="65" hidden="0" customWidth="1"/>
    <x:col min="5" max="5" width="65" hidden="0" customWidth="1"/>
    <x:col min="6" max="6" width="65" hidden="0" customWidth="1"/>
    <x:col min="7" max="7" width="17" hidden="0" customWidth="1"/>
  </x:cols>
  <x:sheetData>
    <x:row r="1" ht="23" customHeight="1">
      <x:c r="A1" s="2"/>
      <x:c r="B1" s="2"/>
      <x:c r="C1" s="2"/>
      <x:c r="D1" s="2"/>
      <x:c r="E1" s="2"/>
      <x:c r="F1" s="2"/>
      <x:c r="G1" s="2"/>
    </x:row>
    <x:row r="2" ht="23" customHeight="1">
      <x:c r="A2" s="3" t="str">
        <x:v>Ghi chú kiến trúc và kết quả rà soát</x:v>
      </x:c>
      <x:c r="B2" s="2"/>
      <x:c r="C2" s="2"/>
      <x:c r="D2" s="2"/>
      <x:c r="E2" s="2"/>
      <x:c r="F2" s="2"/>
      <x:c r="G2" s="2"/>
    </x:row>
    <x:row r="3" ht="23" customHeight="1">
      <x:c r="A3" s="2" t="str">
        <x:v>Không tự thay RTL/SDC để loại cảnh báo. Các nhận xét dưới đây gắn với run và nguồn cụ thể.</x:v>
      </x:c>
      <x:c r="B3" s="2"/>
      <x:c r="C3" s="2"/>
      <x:c r="D3" s="2"/>
      <x:c r="E3" s="2"/>
      <x:c r="F3" s="2"/>
      <x:c r="G3" s="2"/>
    </x:row>
    <x:row r="4" ht="23" customHeight="1">
      <x:c r="A4" s="2"/>
      <x:c r="B4" s="2"/>
      <x:c r="C4" s="2"/>
      <x:c r="D4" s="2"/>
      <x:c r="E4" s="2"/>
      <x:c r="F4" s="2"/>
      <x:c r="G4" s="2"/>
    </x:row>
    <x:row r="5" ht="42" customHeight="1">
      <x:c r="A5" s="7" t="str">
        <x:v>Phạm vi</x:v>
      </x:c>
      <x:c r="B5" s="7" t="str">
        <x:v>Chủ đề</x:v>
      </x:c>
      <x:c r="C5" s="7" t="str">
        <x:v>Số lượng</x:v>
      </x:c>
      <x:c r="D5" s="7" t="str">
        <x:v>Phát hiện / ý nghĩa</x:v>
      </x:c>
      <x:c r="E5" s="7" t="str">
        <x:v>Việc cần làm / lưu ý</x:v>
      </x:c>
      <x:c r="F5" s="7" t="str">
        <x:v>Nguồn</x:v>
      </x:c>
      <x:c r="G5" s="2"/>
    </x:row>
    <x:row r="6" ht="95" customHeight="1">
      <x:c r="A6" s="12" t="str">
        <x:v>A0</x:v>
      </x:c>
      <x:c r="B6" s="12" t="str">
        <x:v>Cấu hình kiến trúc</x:v>
      </x:c>
      <x:c r="C6" s="12" t="n">
        <x:v>33</x:v>
      </x:c>
      <x:c r="D6" s="12" t="str">
        <x:v>1 BU; một RAM in-place; chờ từng butterfly; INTT scale cuối; MultiplyNTTs tuần tự từng cặp.</x:v>
      </x:c>
      <x:c r="E6" s="12" t="str">
        <x:v>Seed 2; macros: SYNTHESIS, ITERATIVE_BASELINE_TIMING_FIX. Top mlkem_channel_top; toàn hệ thống.</x:v>
      </x:c>
      <x:c r="F6" s="12" t="str">
        <x:v>D:/ML_KEM_768_1024/05_quartus/iterative_baseline/mlkem_iterative_baseline_de10.qsf</x:v>
      </x:c>
      <x:c r="G6" s="2"/>
    </x:row>
    <x:row r="7" ht="95" customHeight="1">
      <x:c r="A7" s="12" t="str">
        <x:v>A1</x:v>
      </x:c>
      <x:c r="B7" s="12" t="str">
        <x:v>Cấu hình kiến trúc</x:v>
      </x:c>
      <x:c r="C7" s="12" t="n">
        <x:v>33</x:v>
      </x:c>
      <x:c r="D7" s="12" t="str">
        <x:v>1 BU pipeline; hai RAM ping-pong; II=1 trong tầng, chờ hết ghi trước đổi tầng; MultiplyNTTs pipeline.</x:v>
      </x:c>
      <x:c r="E7" s="12" t="str">
        <x:v>Seed 2; macros: SYNTHESIS. Top mlkem_channel_top; toàn hệ thống.</x:v>
      </x:c>
      <x:c r="F7" s="12" t="str">
        <x:v>D:/ML_KEM_768_1024/05_quartus/channel/mlkem_channel_de10.qsf</x:v>
      </x:c>
      <x:c r="G7" s="2"/>
    </x:row>
    <x:row r="8" ht="95" customHeight="1">
      <x:c r="A8" s="12" t="str">
        <x:v>A2</x:v>
      </x:c>
      <x:c r="B8" s="12" t="str">
        <x:v>Cấu hình kiến trúc</x:v>
      </x:c>
      <x:c r="C8" s="12" t="n">
        <x:v>34</x:v>
      </x:c>
      <x:c r="D8" s="12" t="str">
        <x:v>1 BU, hai bank 128×12 in-place; parity addressing; phát liên tục 896 butterfly. NTT/INTT 905 cycles, MultiplyNTTs 143.</x:v>
      </x:c>
      <x:c r="E8" s="12" t="str">
        <x:v>Seed 2; macros: SYNTHESIS, CONTINUOUS_BANKED_FAST_FRONTEND. Top mlkem_channel_top; toàn hệ thống.</x:v>
      </x:c>
      <x:c r="F8" s="12" t="str">
        <x:v>D:/ML_KEM_768_1024/05_quartus/continuous_banked/mlkem_continuous_banked_de10.qsf</x:v>
      </x:c>
      <x:c r="G8" s="2"/>
    </x:row>
    <x:row r="9" ht="95" customHeight="1">
      <x:c r="A9" s="12" t="str">
        <x:v>A3</x:v>
      </x:c>
      <x:c r="B9" s="12" t="str">
        <x:v>Cấu hình kiến trúc</x:v>
      </x:c>
      <x:c r="C9" s="12" t="n">
        <x:v>34</x:v>
      </x:c>
      <x:c r="D9" s="12" t="str">
        <x:v>1 BU / 2 bank in-place; cycle-opt ghi kết quả polynomial ngay EXECUTE; NTT/INTT 905 cycles.</x:v>
      </x:c>
      <x:c r="E9" s="12" t="str">
        <x:v>Seed 2; SYNTHESIS, CONTINUOUS_BANKED_FAST_FRONTEND, CONTINUOUS_BANKED_CYCLE_OPT. Top mlkem_channel_top; toàn hệ thống.</x:v>
      </x:c>
      <x:c r="F9" s="12" t="str">
        <x:v>D:/ML_KEM_768_1024/05_quartus/continuous_banked_cycle_opt/mlkem_continuous_banked_cycle_opt_de10.qsf</x:v>
      </x:c>
      <x:c r="G9" s="2"/>
    </x:row>
    <x:row r="10" ht="95" customHeight="1">
      <x:c r="A10" s="12" t="str">
        <x:v>A4</x:v>
      </x:c>
      <x:c r="B10" s="12" t="str">
        <x:v>Cấu hình kiến trúc</x:v>
      </x:c>
      <x:c r="C10" s="12" t="n">
        <x:v>34</x:v>
      </x:c>
      <x:c r="D10" s="12" t="str">
        <x:v>1 BU / 2 bank; thêm byte-stream/prefetch và timing RTL; NTT/INTT 906 cycles.</x:v>
      </x:c>
      <x:c r="E10" s="12" t="str">
        <x:v>Seed 4; SYNTHESIS, CONTINUOUS_BANKED_FAST_FRONTEND, CONTINUOUS_BANKED_CYCLE_OPT, CONTINUOUS_BANKED_BYTE_STREAM_OPT, CONTINUOUS_BANKED_V2_TIMING_FIX. Top mlkem_channel_top; toàn hệ thống.</x:v>
      </x:c>
      <x:c r="F10" s="12" t="str">
        <x:v>D:/ML_KEM_768_1024/05_quartus/continuous_banked_cycle_opt_v2/mlkem_continuous_banked_cycle_opt_v2_de10.qsf</x:v>
      </x:c>
      <x:c r="G10" s="2"/>
    </x:row>
    <x:row r="11" ht="95" customHeight="1">
      <x:c r="A11" s="12" t="str">
        <x:v>A5</x:v>
      </x:c>
      <x:c r="B11" s="12" t="str">
        <x:v>Cấu hình kiến trúc</x:v>
      </x:c>
      <x:c r="C11" s="12" t="n">
        <x:v>36</x:v>
      </x:c>
      <x:c r="D11" s="12" t="str">
        <x:v>4 BU / 8 bank 32×12; NTT/INTT 235 cycles; MultiplyNTTs 143. Compile mới đạt 160 MHz qua 4 corners.</x:v>
      </x:c>
      <x:c r="E11" s="12" t="str">
        <x:v>Seed 4; SYNTHESIS, CONTINUOUS_BANKED_FAST_FRONTEND, CONTINUOUS_BANKED_CYCLE_OPT, CONTINUOUS_BANKED_BYTE_STREAM_OPT, CONTINUOUS_BANKED_V2_TIMING_FIX, MLKEM_STREAMING_BALANCED_4BU. Top mlkem_channel_top.</x:v>
      </x:c>
      <x:c r="F11" s="12" t="str">
        <x:v>D:/ML_KEM_768_1024/05_quartus/streaming_balanced_4bu/mlkem_streaming_balanced_4bu_de10.qsf</x:v>
      </x:c>
      <x:c r="G11" s="2"/>
    </x:row>
    <x:row r="12" ht="95" customHeight="1">
      <x:c r="A12" s="12" t="str">
        <x:v>A0_20261024_000741</x:v>
      </x:c>
      <x:c r="B12" s="12" t="str">
        <x:v>Biên timing</x:v>
      </x:c>
      <x:c r="C12" s="12" t="n">
        <x:v>20</x:v>
      </x:c>
      <x:c r="D12" s="12" t="str">
        <x:v>Setup +0,020 ns = 20 ps; hold min +0,145 ns.</x:v>
      </x:c>
      <x:c r="E12" s="12" t="str">
        <x:v>Đạt tại 160 MHz theo SDC, nhưng sát biên. Không đảm bảo mọi seed/build đều đạt.</x:v>
      </x:c>
      <x:c r="F12" s="12" t="str">
        <x:v>D:/ML_KEM_768_1024/09_reports/architecture_tracking/A0_20261024_000741/mlkem_iterative_baseline_de10.sta.summary</x:v>
      </x:c>
      <x:c r="G12" s="2"/>
    </x:row>
    <x:row r="13" ht="95" customHeight="1">
      <x:c r="A13" s="12" t="str">
        <x:v>A0_20261024_000741</x:v>
      </x:c>
      <x:c r="B13" s="12" t="str">
        <x:v>Fmax</x:v>
      </x:c>
      <x:c r="C13" s="12" t="n">
        <x:v>160.51</x:v>
      </x:c>
      <x:c r="D13" s="12" t="str">
        <x:v>Fmax slow 85°C = restricted Fmax 160,51 MHz.</x:v>
      </x:c>
      <x:c r="E13" s="12" t="str">
        <x:v>Không suy từ Fmax đơn lẻ thành signoff; dùng slack mọi corner.</x:v>
      </x:c>
      <x:c r="F13" s="12" t="str">
        <x:v>D:/ML_KEM_768_1024/09_reports/architecture_tracking/A0_20261024_000741/mlkem_iterative_baseline_de10.sta.rpt</x:v>
      </x:c>
      <x:c r="G13" s="2"/>
    </x:row>
    <x:row r="14" ht="95" customHeight="1">
      <x:c r="A14" s="12" t="str">
        <x:v>A0_20261024_000741</x:v>
      </x:c>
      <x:c r="B14" s="12" t="str">
        <x:v>Warnings tổng</x:v>
      </x:c>
      <x:c r="C14" s="12" t="n">
        <x:v>224</x:v>
      </x:c>
      <x:c r="D14" s="12" t="str">
        <x:v>Tổng số dòng cảnh báo trong map/fit/sta/asm, gồm mô tả node và lặp theo công đoạn.</x:v>
      </x:c>
      <x:c r="E14" s="12" t="str">
        <x:v>Không phải 224 lỗi chức năng. 0 error trong Full Compilation theo log người dùng; chưa tự sửa cảnh báo.</x:v>
      </x:c>
      <x:c r="F14" s="12" t="str">
        <x:v>D:/ML_KEM_768_1024/09_reports/architecture_tracking/A0_20261024_000741</x:v>
      </x:c>
      <x:c r="G14" s="2"/>
    </x:row>
    <x:row r="15" ht="95" customHeight="1">
      <x:c r="A15" s="12" t="str">
        <x:v>A0_20261024_000741</x:v>
      </x:c>
      <x:c r="B15" s="12" t="str">
        <x:v>332125 / 332126</x:v>
      </x:c>
      <x:c r="C15" s="12" t="n">
        <x:v>210</x:v>
      </x:c>
      <x:c r="D15" s="12" t="str">
        <x:v>30 cảnh báo vòng + 180 dòng node, đều trong u_trng (15 vòng được báo ở mỗi fit và STA).</x:v>
      </x:c>
      <x:c r="E15" s="12" t="str">
        <x:v>RTL có ring oscillator chủ ý; STA không chứng minh entropy. Chỉ chấp nhận sau rà phạm vi RO và kiểm thử vật lý.</x:v>
      </x:c>
      <x:c r="F15" s="12" t="str">
        <x:v>D:/ML_KEM_768_1024/09_reports/architecture_tracking/A0_20261024_000741/mlkem_iterative_baseline_de10.sta.rpt</x:v>
      </x:c>
      <x:c r="G15" s="2"/>
    </x:row>
    <x:row r="16" ht="95" customHeight="1">
      <x:c r="A16" s="12" t="str">
        <x:v>A0_20261024_000741</x:v>
      </x:c>
      <x:c r="B16" s="12" t="str">
        <x:v>15714: I/O</x:v>
      </x:c>
      <x:c r="C16" s="12" t="n">
        <x:v>53</x:v>
      </x:c>
      <x:c r="D16" s="12" t="str">
        <x:v>LEDR[9:0], HEX0..5[6:0], UART_TX thiếu drive strength và slew rate.</x:v>
      </x:c>
      <x:c r="E16" s="12" t="str">
        <x:v>Cần đối chiếu thông số kit/tải trước khi chỉ định; không tự gán một giá trị chung để hết warning.</x:v>
      </x:c>
      <x:c r="F16" s="12" t="str">
        <x:v>D:/ML_KEM_768_1024/09_reports/architecture_tracking/A0_20261024_000741/mlkem_iterative_baseline_de10.fit.rpt / I/O Assignment Warnings</x:v>
      </x:c>
      <x:c r="G16" s="2"/>
    </x:row>
    <x:row r="17" ht="95" customHeight="1">
      <x:c r="A17" s="12" t="str">
        <x:v>A0_20261024_000741</x:v>
      </x:c>
      <x:c r="B17" s="12" t="str">
        <x:v>MTBF / CDC</x:v>
      </x:c>
      <x:c r="C17" s="12" t="n">
        <x:v>2</x:v>
      </x:c>
      <x:c r="D17" s="12" t="str">
        <x:v>Phát hiện 2 synchronizer chains nhưng MTBF không tính được; fraction uncalculated = 1.</x:v>
      </x:c>
      <x:c r="E17" s="12" t="str">
        <x:v>Chưa coi CDC đã signoff. Rà chain nhận dạng, bất đồng bộ và constraints. Không suy 2 chains là toàn bộ CDC.</x:v>
      </x:c>
      <x:c r="F17" s="12" t="str">
        <x:v>D:/ML_KEM_768_1024/09_reports/architecture_tracking/A0_20261024_000741/mlkem_iterative_baseline_de10.sta.rpt / Metastability</x:v>
      </x:c>
      <x:c r="G17" s="2"/>
    </x:row>
    <x:row r="18" ht="95" customHeight="1">
      <x:c r="A18" s="12" t="str">
        <x:v>A0_20261024_000741</x:v>
      </x:c>
      <x:c r="B18" s="12" t="str">
        <x:v>MTBF tài liệu</x:v>
      </x:c>
      <x:c r="C18" s="12"/>
      <x:c r="D18" s="12" t="str">
        <x:v>AUTO identification không đủ để tính MTBF cho các chain tự nhận dạng.</x:v>
      </x:c>
      <x:c r="E18" s="12" t="str">
        <x:v>Cần kiểm tra chain thực tế trước khi dùng Forced/Forced If Asynchronous; không sửa mù để lấy con số.</x:v>
      </x:c>
      <x:c r="F18" s="12" t="str">
        <x:v>https://resources.altera.com/quartushelp/20.1/tafs/tafs/tcl_pkg_sta_ver_1.0_cmd_report_metastability.htm</x:v>
      </x:c>
      <x:c r="G18" s="2"/>
    </x:row>
    <x:row r="19" ht="95" customHeight="1">
      <x:c r="A19" s="12" t="str">
        <x:v>A0_20261024_000741</x:v>
      </x:c>
      <x:c r="B19" s="12" t="str">
        <x:v>Fully constrained</x:v>
      </x:c>
      <x:c r="C19" s="12" t="n">
        <x:v>0</x:v>
      </x:c>
      <x:c r="D19" s="12" t="str">
        <x:v>Illegal/unconstrained clocks, input/output ports và port paths đều 0 (setup/hold).</x:v>
      </x:c>
      <x:c r="E19" s="12" t="str">
        <x:v>SDC có false path KEY/SW/UART_RX và outputs. Fully constrained không có nghĩa mọi I/O đã timing hay CDC đã an toàn.</x:v>
      </x:c>
      <x:c r="F19" s="12" t="str">
        <x:v>D:/ML_KEM_768_1024/09_reports/architecture_tracking/A0_20261024_000741/mlkem_iterative_baseline_de10.sta.rpt / Unconstrained Paths Summary</x:v>
      </x:c>
      <x:c r="G19" s="2"/>
    </x:row>
    <x:row r="20" ht="95" customHeight="1">
      <x:c r="A20" s="12" t="str">
        <x:v>A0_20261024_000741</x:v>
      </x:c>
      <x:c r="B20" s="12" t="str">
        <x:v>Unused input</x:v>
      </x:c>
      <x:c r="C20" s="12" t="n">
        <x:v>9</x:v>
      </x:c>
      <x:c r="D20" s="12" t="str">
        <x:v>KEY[1:3], SW[4:9] không ảnh hưởng logic; 9 dòng 15610 và 1 tổng hợp 21074.</x:v>
      </x:c>
      <x:c r="E20" s="12" t="str">
        <x:v>Phù hợp chức năng top hiện tại; không coi SW5 của bản keydemo là chức năng sẵn có của A0.</x:v>
      </x:c>
      <x:c r="F20" s="12" t="str">
        <x:v>D:/ML_KEM_768_1024/09_reports/architecture_tracking/A0_20261024_000741/mlkem_iterative_baseline_de10.map.rpt</x:v>
      </x:c>
      <x:c r="G20" s="2"/>
    </x:row>
    <x:row r="21" ht="95" customHeight="1">
      <x:c r="A21" s="12" t="str">
        <x:v>A0_20261024_000741</x:v>
      </x:c>
      <x:c r="B21" s="12" t="str">
        <x:v>10036</x:v>
      </x:c>
      <x:c r="C21" s="12" t="n">
        <x:v>1</x:v>
      </x:c>
      <x:c r="D21" s="12" t="str">
        <x:v>hash_capture_byte_index có gán nhưng không đọc ở macro hiện tại.</x:v>
      </x:c>
      <x:c r="E21" s="12" t="str">
        <x:v>Ghi nhận logic tối ưu bỏ; chưa thay đổi RTL. Không phải latch inference.</x:v>
      </x:c>
      <x:c r="F21" s="12" t="str">
        <x:v>D:/ML_KEM_768_1024/09_reports/architecture_tracking/A0_20261024_000741/mlkem_iterative_baseline_de10.map.rpt</x:v>
      </x:c>
      <x:c r="G21" s="2"/>
    </x:row>
    <x:row r="22" ht="95" customHeight="1">
      <x:c r="A22" s="12" t="str">
        <x:v>A0_20261024_000741</x:v>
      </x:c>
      <x:c r="B22" s="12" t="str">
        <x:v>177007</x:v>
      </x:c>
      <x:c r="C22" s="12" t="n">
        <x:v>1</x:v>
      </x:c>
      <x:c r="D22" s="12" t="str">
        <x:v>PLL chưa chỉ định clock cần compensation; fitter cố compensate mọi PLL clock.</x:v>
      </x:c>
      <x:c r="E22" s="12" t="str">
        <x:v>Clock dẫn xuất và STA đã báo đúng 160 MHz; rà cấu hình PLL nếu cần tối ưu.</x:v>
      </x:c>
      <x:c r="F22" s="12" t="str">
        <x:v>D:/ML_KEM_768_1024/09_reports/architecture_tracking/A0_20261024_000741/mlkem_iterative_baseline_de10.fit.rpt</x:v>
      </x:c>
      <x:c r="G22" s="2"/>
    </x:row>
    <x:row r="23" ht="95" customHeight="1">
      <x:c r="A23" s="12" t="str">
        <x:v>A0_20261024_000741</x:v>
      </x:c>
      <x:c r="B23" s="12" t="str">
        <x:v>292013</x:v>
      </x:c>
      <x:c r="C23" s="12" t="n">
        <x:v>1</x:v>
      </x:c>
      <x:c r="D23" s="12" t="str">
        <x:v>LogicLock yêu cầu license subscription; bản Lite không có tính năng này.</x:v>
      </x:c>
      <x:c r="E23" s="12" t="str">
        <x:v>Không dùng claim floorplan/LogicLock constraints đã được áp dụng nếu tool không hỗ trợ.</x:v>
      </x:c>
      <x:c r="F23" s="12" t="str">
        <x:v>D:/ML_KEM_768_1024/09_reports/architecture_tracking/A0_20261024_000741/mlkem_iterative_baseline_de10.fit.rpt</x:v>
      </x:c>
      <x:c r="G23" s="2"/>
    </x:row>
    <x:row r="24" ht="95" customHeight="1">
      <x:c r="A24" s="12" t="str">
        <x:v>A0_20261024_000741</x:v>
      </x:c>
      <x:c r="B24" s="12" t="str">
        <x:v>LAB / bộ nhớ</x:v>
      </x:c>
      <x:c r="C24" s="12"/>
      <x:c r="D24" s="12" t="str">
        <x:v>ALM needed 24.673 khác ALM placed 26.602. LAB dùng 3.859/4.191. RAM logic 238.768 bit khác physical 440.320 bit.</x:v>
      </x:c>
      <x:c r="E24" s="12" t="str">
        <x:v>Giữ đúng định nghĩa khi so sánh. LAB dùng không đồng nghĩa tỷ lệ ALM.</x:v>
      </x:c>
      <x:c r="F24" s="12" t="str">
        <x:v>D:/ML_KEM_768_1024/09_reports/architecture_tracking/A0_20261024_000741/mlkem_iterative_baseline_de10.fit.rpt / Resource Usage Summary</x:v>
      </x:c>
      <x:c r="G24" s="2"/>
    </x:row>
    <x:row r="25" ht="95" customHeight="1">
      <x:c r="A25" s="12" t="str">
        <x:v>A0_20261024_000741</x:v>
      </x:c>
      <x:c r="B25" s="12" t="str">
        <x:v>Power / critical path</x:v>
      </x:c>
      <x:c r="C25" s="12"/>
      <x:c r="D25" s="12" t="str">
        <x:v>Không có Power Analyzer. STA đã xuất summary nhưng không có startpoint/endpoint đường setup chi tiết.</x:v>
      </x:c>
      <x:c r="E25" s="12" t="str">
        <x:v>Để trống Power W; muốn tìm đường hạn chế cần report_timing riêng. Không suy đoán công suất hay tên đường.</x:v>
      </x:c>
      <x:c r="F25" s="12" t="str">
        <x:v>D:/ML_KEM_768_1024/09_reports/architecture_tracking/A0_20261024_000741</x:v>
      </x:c>
      <x:c r="G25" s="2"/>
    </x:row>
    <x:row r="26" ht="95" customHeight="1">
      <x:c r="A26" s="12" t="str">
        <x:v>A0 / A1</x:v>
      </x:c>
      <x:c r="B26" s="12" t="str">
        <x:v>So sánh nguồn</x:v>
      </x:c>
      <x:c r="C26" s="12" t="n">
        <x:v>2</x:v>
      </x:c>
      <x:c r="D26" s="12" t="str">
        <x:v>Chỉ ntt_core.sv và multiply_ntts_core.sv khác nội dung trong 33 file; macro A0 thêm timing fix.</x:v>
      </x:c>
      <x:c r="E26" s="12" t="str">
        <x:v>Không quy mọi tăng tốc cho riêng ping-pong; A0 và A1 có lịch MultiplyNTTs khác nhau.</x:v>
      </x:c>
      <x:c r="F26" s="12" t="str">
        <x:v>D:/ML_KEM_768_1024/01_rtl/architectures</x:v>
      </x:c>
      <x:c r="G26" s="2"/>
    </x:row>
    <x:row r="27" ht="95" customHeight="1">
      <x:c r="A27" s="12" t="str">
        <x:v>A0 / A1</x:v>
      </x:c>
      <x:c r="B27" s="12" t="str">
        <x:v>Clear / bảo mật</x:v>
      </x:c>
      <x:c r="C27" s="12"/>
      <x:c r="D27" s="12" t="str">
        <x:v>A1 clear phiên: vô hiệu ở cạnh 2, KDF/AES cạnh 3, sponge cạnh 4; scratch RAM sponge không scrub hết.</x:v>
      </x:c>
      <x:c r="E27" s="12" t="str">
        <x:v>Test chức năng không phải chứng nhận entropy/side-channel. A0 đã PASS 14 bài; A1 có thêm pipeline guards.</x:v>
      </x:c>
      <x:c r="F27" s="12" t="str">
        <x:v>D:/ML_KEM_768_1024/09_reports/streaming_pingpong/run_20261023_235246_460</x:v>
      </x:c>
      <x:c r="G27" s="2"/>
    </x:row>
    <x:row r="28" ht="95" customHeight="1">
      <x:c r="A28" s="12" t="str">
        <x:v>A0 / A1</x:v>
      </x:c>
      <x:c r="B28" s="12" t="str">
        <x:v>Vector đối chiếu</x:v>
      </x:c>
      <x:c r="C28" s="12"/>
      <x:c r="D28" s="12" t="str">
        <x:v>Service vector SHA256 khớp giữa hai lần regression. Chu kỳ được đo trên cùng fixture cố định.</x:v>
      </x:c>
      <x:c r="E28" s="12" t="str">
        <x:v>ACVP 50/50/20 là mô hình Python; không gọi RTL được NIST chứng nhận. Kit demo là nguồn riêng.</x:v>
      </x:c>
      <x:c r="F28" s="12" t="str">
        <x:v>D:/ML_KEM_768_1024/09_reports/iterative_baseline/run_20261023_233228_764 ; D:/ML_KEM_768_1024/09_reports/streaming_pingpong/run_20261023_235246_460</x:v>
      </x:c>
      <x:c r="G28" s="2"/>
    </x:row>
    <x:row r="29" ht="95" customHeight="1">
      <x:c r="A29" s="12" t="str">
        <x:v>A2–A5</x:v>
      </x:c>
      <x:c r="B29" s="12" t="str">
        <x:v>Chưa nhập report cũ</x:v>
      </x:c>
      <x:c r="C29" s="12"/>
      <x:c r="D29" s="12" t="str">
        <x:v>A3/A4/A5 đã nhập compile 24/10; A2 còn ô chờ. A3/A4 cần kết quả fit sau sửa.</x:v>
      </x:c>
      <x:c r="E29" s="12" t="str">
        <x:v>Giữ Run ID lịch sử; nguồn và thời điểm của từng bảng phải khớp.</x:v>
      </x:c>
      <x:c r="F29" s="12" t="str">
        <x:v>D:/ML_KEM_768_1024/01_rtl/architectures/README_ISOLATION.md</x:v>
      </x:c>
      <x:c r="G29" s="2"/>
    </x:row>
    <x:row r="30" ht="95" customHeight="1">
      <x:c r="A30" s="12" t="str">
        <x:v>A2</x:v>
      </x:c>
      <x:c r="B30" s="12" t="str">
        <x:v>Chuẩn bị compile</x:v>
      </x:c>
      <x:c r="C30" s="12" t="n">
        <x:v>34</x:v>
      </x:c>
      <x:c r="D30" s="12" t="str">
        <x:v>Tắt BOARD_DEMO để UART chọn mode như A0/A1. Giữ REMOVE_REDUNDANT_LOGIC_CELLS=OFF theo chính sách RO cũ; A0/A1=ON.</x:v>
      </x:c>
      <x:c r="E30" s="12" t="str">
        <x:v>Ngoài NTT/MultiplyNTTs còn khác Keccak, sampler, GHASH. Không quy toàn bộ speedup cho NTT. Chưa có post-fit mới.</x:v>
      </x:c>
      <x:c r="F30" s="12" t="str">
        <x:v>D:/ML_KEM_768_1024/05_quartus/continuous_banked/mlkem_continuous_banked_de10.qsf</x:v>
      </x:c>
      <x:c r="G30" s="2"/>
    </x:row>
    <x:row r="31" ht="95" customHeight="1">
      <x:c r="A31" s="12" t="str">
        <x:v>A2</x:v>
      </x:c>
      <x:c r="B31" s="12" t="str">
        <x:v>Regression / hợp đồng</x:v>
      </x:c>
      <x:c r="C31" s="12" t="n">
        <x:v>17</x:v>
      </x:c>
      <x:c r="D31" s="12" t="str">
        <x:v>17 RTL benches, 4 PLL, 2 host PASS. Một test âm bắt đúng assertion cấm sampler busy-write. Guard NTT: 104 transforms, 12 multiply, 8 schoolbook, 12 reset-aborts.</x:v>
      </x:c>
      <x:c r="E31" s="12" t="str">
        <x:v>Sampler yêu cầu caller không ghi khi busy; phần cứng không tự chặn thao tác sai. Run đầu FAILED do dùng giả định A1, đã giữ log riêng.</x:v>
      </x:c>
      <x:c r="F31" s="12" t="str">
        <x:v>D:\ML_KEM_768_1024\09_reports\continuous_banked\run_20261024_010342_182</x:v>
      </x:c>
      <x:c r="G31" s="2"/>
    </x:row>
    <x:row r="32" ht="95" customHeight="1">
      <x:c r="A32" s="12" t="str">
        <x:v>A1_20261024_004402</x:v>
      </x:c>
      <x:c r="B32" s="12" t="str">
        <x:v>Setup chưa đạt</x:v>
      </x:c>
      <x:c r="C32" s="12" t="n">
        <x:v>2</x:v>
      </x:c>
      <x:c r="D32" s="12" t="str">
        <x:v>Slow 85C: WNS -0,430 ns / TNS -2,710 ns. Slow 0C: -0,089 / -0,109 ns. Hold min +0,128 ns.</x:v>
      </x:c>
      <x:c r="E32" s="12" t="str">
        <x:v>Compile Successful không đồng nghĩa timing PASS. Cần lấy report_timing chi tiết trước khi sửa RTL; giữ bản này làm mốc.</x:v>
      </x:c>
      <x:c r="F32" s="12" t="str">
        <x:v>D:/ML_KEM_768_1024/09_reports/architecture_tracking/A1_20261024_004402/mlkem_channel_de10.sta.summary</x:v>
      </x:c>
      <x:c r="G32" s="2"/>
    </x:row>
    <x:row r="33" ht="95" customHeight="1">
      <x:c r="A33" s="12" t="str">
        <x:v>A1_20261024_004402</x:v>
      </x:c>
      <x:c r="B33" s="12" t="str">
        <x:v>Fmax / latency</x:v>
      </x:c>
      <x:c r="C33" s="12" t="n">
        <x:v>149.7</x:v>
      </x:c>
      <x:c r="D33" s="12" t="str">
        <x:v>Slow 85C Fmax và restricted Fmax: 149,70 MHz; slow 0C: 157,75 MHz.</x:v>
      </x:c>
      <x:c r="E33" s="12" t="str">
        <x:v>Chu kỳ mô phỏng vẫn có giá trị. Không công bố latency 160 MHz là đạt vật lý; hạ clock cũng cần compile và STA lại.</x:v>
      </x:c>
      <x:c r="F33" s="12" t="str">
        <x:v>D:/ML_KEM_768_1024/09_reports/architecture_tracking/A1_20261024_004402/mlkem_channel_de10.sta.rpt</x:v>
      </x:c>
      <x:c r="G33" s="2"/>
    </x:row>
    <x:row r="34" ht="95" customHeight="1">
      <x:c r="A34" s="12" t="str">
        <x:v>A1_20261024_004402</x:v>
      </x:c>
      <x:c r="B34" s="12" t="str">
        <x:v>Warnings / CDC</x:v>
      </x:c>
      <x:c r="C34" s="12" t="n">
        <x:v>226</x:v>
      </x:c>
      <x:c r="D34" s="12" t="str">
        <x:v>Hai critical warning 332148: timing not met. Các nhóm khác: {"10036":1,"15610":9,"15714":1,"21074":1,"177007":1,"292013":1,"332125":30,"332148":2}</x:v>
      </x:c>
      <x:c r="E34" s="12" t="str">
        <x:v>RO đều trong u_trng. MTBF không tính được; 53 I/O cần drive/slew. Unconstrained setup/hold=0 theo SDC hiện tại.</x:v>
      </x:c>
      <x:c r="F34" s="12" t="str">
        <x:v>D:/ML_KEM_768_1024/09_reports/architecture_tracking/A1_20261024_004402</x:v>
      </x:c>
      <x:c r="G34" s="2"/>
    </x:row>
    <x:row r="35" ht="95" customHeight="1">
      <x:c r="A35" s="12" t="str">
        <x:v>A1_20261024_004402</x:v>
      </x:c>
      <x:c r="B35" s="12" t="str">
        <x:v>Tài nguyên so A0</x:v>
      </x:c>
      <x:c r="C35" s="12"/>
      <x:c r="D35" s="12" t="str">
        <x:v>ALM +69; registers +302; M10K +1; RAM logic +3.072 bit; DSP không đổi (28).</x:v>
      </x:c>
      <x:c r="E35" s="12" t="str">
        <x:v>Tài nguyên toàn hệ thống. Không gán toàn bộ mức chênh lệch cho NTT vì macro/lịch MultiplyNTTs khác.</x:v>
      </x:c>
      <x:c r="F35" s="12" t="str">
        <x:v>D:/ML_KEM_768_1024/09_reports/architecture_tracking/A1_20261024_004402/mlkem_channel_de10.fit.summary</x:v>
      </x:c>
      <x:c r="G35" s="2"/>
    </x:row>
    <x:row r="36" ht="110" customHeight="1">
      <x:c r="A36" s="12" t="str">
        <x:v>A3_20261024_023911</x:v>
      </x:c>
      <x:c r="B36" s="12" t="str">
        <x:v>Timing trước sửa</x:v>
      </x:c>
      <x:c r="C36" s="12" t="n">
        <x:v>2</x:v>
      </x:c>
      <x:c r="D36" s="12" t="str">
        <x:v>Setup slow 85°C -0.14 ns (TNS -0.472); slow 0°C -0.105 ns (TNS -0.105); hold min 0.132 ns.</x:v>
      </x:c>
      <x:c r="E36" s="12" t="str">
        <x:v>Fmax slow 85°C 156.49 MHz. Successful chỉ là compile hoàn tất; chưa đạt 160 MHz.</x:v>
      </x:c>
      <x:c r="F36" s="12" t="str">
        <x:v>D:/ML_KEM_768_1024/09_reports/architecture_tracking/A3_20261024_023911/mlkem_continuous_banked_cycle_opt_de10.sta.summary</x:v>
      </x:c>
      <x:c r="G36" s="2"/>
    </x:row>
    <x:row r="37" ht="110" customHeight="1">
      <x:c r="A37" s="12" t="str">
        <x:v>A3_20261024_023911</x:v>
      </x:c>
      <x:c r="B37" s="12" t="str">
        <x:v>Warnings / CDC</x:v>
      </x:c>
      <x:c r="C37" s="12" t="n">
        <x:v>228</x:v>
      </x:c>
      <x:c r="D37" s="12" t="str">
        <x:v>{"10036":3,"15610":9,"15714":1,"21074":1,"177007":1,"292013":1,"332125":30,"332126":180,"332148":2}</x:v>
      </x:c>
      <x:c r="E37" s="12" t="str">
        <x:v>Node vòng đều thuộc u_trng. 53 I/O thiếu drive/slew; chains theo corner ghi trong Timing, MTBF chưa tính. Unconstrained setup/hold=0 theo SDC; không phải CDC signoff.</x:v>
      </x:c>
      <x:c r="F37" s="12" t="str">
        <x:v>D:/ML_KEM_768_1024/09_reports/architecture_tracking/A3_20261024_023911</x:v>
      </x:c>
      <x:c r="G37" s="2"/>
    </x:row>
    <x:row r="38" ht="110" customHeight="1">
      <x:c r="A38" s="12" t="str">
        <x:v>A3</x:v>
      </x:c>
      <x:c r="B38" s="12" t="str">
        <x:v>Sửa RTL sau compile</x:v>
      </x:c>
      <x:c r="C38" s="12"/>
      <x:c r="D38" s="12" t="str">
        <x:v>UART: giải mã line trước, đăng ký ASCII hash, chọn byte sau mã hóa. KDF/Keccak: local clear; shift token dự đoán. Replay counter tăng tại FINISH.</x:v>
      </x:c>
      <x:c r="E38" s="12" t="str">
        <x:v>Không đổi QSF/SDC/seed/clock/NTT. Số tài nguyên và slack hiện tại thuộc snapshot TRƯỚC sửa; cần Full Compilation mới.</x:v>
      </x:c>
      <x:c r="F38" s="12" t="str">
        <x:v>D:/ML_KEM_768_1024/09_reports/architecture_tracking/A3_A4_TIMING_FIX_20261024.md</x:v>
      </x:c>
      <x:c r="G38" s="2"/>
    </x:row>
    <x:row r="39" ht="110" customHeight="1">
      <x:c r="A39" s="12" t="str">
        <x:v>A3_20261024_023911</x:v>
      </x:c>
      <x:c r="B39" s="12" t="str">
        <x:v>Nguồn và phạm vi</x:v>
      </x:c>
      <x:c r="C39" s="12" t="n">
        <x:v>34</x:v>
      </x:c>
      <x:c r="D39" s="12" t="str">
        <x:v>34 RTL trong backup khớp SHA256 regression trước compile; QSF assignments và SDC khớp. SOF/report được lưu riêng.</x:v>
      </x:c>
      <x:c r="E39" s="12" t="str">
        <x:v>Không coi hash RTL đang sửa là nguồn của SOF trước sửa. Thời gian cột C lấy header STA report; flow status có thời điểm khác.</x:v>
      </x:c>
      <x:c r="F39" s="12" t="str">
        <x:v>D:/ML_KEM_768_1024/09_reports/architecture_tracking/A3_20261024_023911/tracker_evidence.json</x:v>
      </x:c>
      <x:c r="G39" s="2"/>
    </x:row>
    <x:row r="40" ht="110" customHeight="1">
      <x:c r="A40" s="12" t="str">
        <x:v>A4_20261024_023929</x:v>
      </x:c>
      <x:c r="B40" s="12" t="str">
        <x:v>Timing trước sửa</x:v>
      </x:c>
      <x:c r="C40" s="12" t="n">
        <x:v>2</x:v>
      </x:c>
      <x:c r="D40" s="12" t="str">
        <x:v>Setup slow 85°C -0.705 ns (TNS -20.214); slow 0°C -0.572 ns (TNS -2.78); hold min 0.096 ns.</x:v>
      </x:c>
      <x:c r="E40" s="12" t="str">
        <x:v>Fmax slow 85°C 143.78 MHz. Successful chỉ là compile hoàn tất; chưa đạt 160 MHz.</x:v>
      </x:c>
      <x:c r="F40" s="12" t="str">
        <x:v>D:/ML_KEM_768_1024/09_reports/architecture_tracking/A4_20261024_023929/mlkem_continuous_banked_cycle_opt_v2_de10.sta.summary</x:v>
      </x:c>
      <x:c r="G40" s="2"/>
    </x:row>
    <x:row r="41" ht="110" customHeight="1">
      <x:c r="A41" s="12" t="str">
        <x:v>A4_20261024_023929</x:v>
      </x:c>
      <x:c r="B41" s="12" t="str">
        <x:v>Warnings / CDC</x:v>
      </x:c>
      <x:c r="C41" s="12" t="n">
        <x:v>227</x:v>
      </x:c>
      <x:c r="D41" s="12" t="str">
        <x:v>{"10036":2,"15610":9,"15714":1,"21074":1,"177007":1,"292013":1,"332125":30,"332126":180,"332148":2}</x:v>
      </x:c>
      <x:c r="E41" s="12" t="str">
        <x:v>Node vòng đều thuộc u_trng. 53 I/O thiếu drive/slew; chains theo corner ghi trong Timing, MTBF chưa tính. Unconstrained setup/hold=0 theo SDC; không phải CDC signoff.</x:v>
      </x:c>
      <x:c r="F41" s="12" t="str">
        <x:v>D:/ML_KEM_768_1024/09_reports/architecture_tracking/A4_20261024_023929</x:v>
      </x:c>
    </x:row>
    <x:row r="42" ht="110" customHeight="1">
      <x:c r="A42" s="12" t="str">
        <x:v>A4</x:v>
      </x:c>
      <x:c r="B42" s="12" t="str">
        <x:v>Sửa RTL sau compile</x:v>
      </x:c>
      <x:c r="C42" s="12"/>
      <x:c r="D42" s="12" t="str">
        <x:v>UART: giải mã line trước, đăng ký ASCII hash, chọn byte sau mã hóa. KDF/Keccak: local clear; shift token dự đoán. Replay counter tăng tại FINISH.</x:v>
      </x:c>
      <x:c r="E42" s="12" t="str">
        <x:v>Không đổi QSF/SDC/seed/clock/NTT. Số tài nguyên và slack hiện tại thuộc snapshot TRƯỚC sửa; cần Full Compilation mới.</x:v>
      </x:c>
      <x:c r="F42" s="12" t="str">
        <x:v>D:/ML_KEM_768_1024/09_reports/architecture_tracking/A3_A4_TIMING_FIX_20261024.md</x:v>
      </x:c>
    </x:row>
    <x:row r="43" ht="110" customHeight="1">
      <x:c r="A43" s="12" t="str">
        <x:v>A4_20261024_023929</x:v>
      </x:c>
      <x:c r="B43" s="12" t="str">
        <x:v>Nguồn và phạm vi</x:v>
      </x:c>
      <x:c r="C43" s="12" t="n">
        <x:v>34</x:v>
      </x:c>
      <x:c r="D43" s="12" t="str">
        <x:v>34 RTL trong backup khớp SHA256 regression trước compile; QSF assignments và SDC khớp. SOF/report được lưu riêng.</x:v>
      </x:c>
      <x:c r="E43" s="12" t="str">
        <x:v>Không coi hash RTL đang sửa là nguồn của SOF trước sửa. Thời gian cột C lấy header STA report; flow status có thời điểm khác.</x:v>
      </x:c>
      <x:c r="F43" s="12" t="str">
        <x:v>D:/ML_KEM_768_1024/09_reports/architecture_tracking/A4_20261024_023929/tracker_evidence.json</x:v>
      </x:c>
    </x:row>
    <x:row r="44" ht="110" customHeight="1">
      <x:c r="A44" s="12" t="str">
        <x:v>A1</x:v>
      </x:c>
      <x:c r="B44" s="12" t="str">
        <x:v>Regression sau sửa</x:v>
      </x:c>
      <x:c r="C44" s="12" t="n">
        <x:v>33</x:v>
      </x:c>
      <x:c r="D44" s="12" t="str">
        <x:v>STREAMING_PINGPONG_REGRESSION: PASS run=20261024_014501_279 tests=18 vendor_pll=4 host=2 INPUTS_UNCHANGED</x:v>
      </x:c>
      <x:c r="E44" s="12" t="str">
        <x:v>KEM/NTT/MultiplyNTTs giữ chu kỳ fixture cố định; UART/clear/replay cần dùng bản RTL mới. Regression không thay thế post-fit STA.</x:v>
      </x:c>
      <x:c r="F44" s="12" t="str">
        <x:v>D:/ML_KEM_768_1024/09_reports/streaming_pingpong/run_20261024_014501_279</x:v>
      </x:c>
    </x:row>
    <x:row r="45" ht="110" customHeight="1">
      <x:c r="A45" s="12" t="str">
        <x:v>A3</x:v>
      </x:c>
      <x:c r="B45" s="12" t="str">
        <x:v>Regression sau sửa</x:v>
      </x:c>
      <x:c r="C45" s="12" t="n">
        <x:v>34</x:v>
      </x:c>
      <x:c r="D45" s="12" t="str">
        <x:v>A3_REGRESSION: PASS run=20261024_060402_971 tests=17 vendor_pll=4 host=2 negative_contract=1 INPUTS_UNCHANGED</x:v>
      </x:c>
      <x:c r="E45" s="12" t="str">
        <x:v>KEM/NTT/MultiplyNTTs giữ chu kỳ fixture cố định; UART/clear/replay cần dùng bản RTL mới. Regression không thay thế post-fit STA.</x:v>
      </x:c>
      <x:c r="F45" s="12" t="str">
        <x:v>D:/ML_KEM_768_1024/09_reports/continuous_banked_cycle_opt/run_20261024_060402_971</x:v>
      </x:c>
    </x:row>
    <x:row r="46" ht="110" customHeight="1">
      <x:c r="A46" s="12" t="str">
        <x:v>A4</x:v>
      </x:c>
      <x:c r="B46" s="12" t="str">
        <x:v>Regression sau sửa</x:v>
      </x:c>
      <x:c r="C46" s="12" t="n">
        <x:v>34</x:v>
      </x:c>
      <x:c r="D46" s="12" t="str">
        <x:v>A4_REGRESSION: PASS run=20261024_060413_427 tests=17 vendor_pll=4 host=2 negative_contract=1 INPUTS_UNCHANGED</x:v>
      </x:c>
      <x:c r="E46" s="12" t="str">
        <x:v>KEM/NTT/MultiplyNTTs giữ chu kỳ fixture cố định; UART/clear/replay cần dùng bản RTL mới. Regression không thay thế post-fit STA.</x:v>
      </x:c>
      <x:c r="F46" s="12" t="str">
        <x:v>D:/ML_KEM_768_1024/09_reports/continuous_banked_cycle_opt_v2/run_20261024_060413_427</x:v>
      </x:c>
    </x:row>
    <x:row r="47" ht="110" customHeight="1">
      <x:c r="A47" s="12" t="str">
        <x:v>A5_20261024_063318</x:v>
      </x:c>
      <x:c r="B47" s="12" t="str">
        <x:v>STA đạt 160 MHz</x:v>
      </x:c>
      <x:c r="C47" s="12" t="n">
        <x:v>4</x:v>
      </x:c>
      <x:c r="D47" s="12" t="str">
        <x:v>Setup min +0,091 ns; hold min +0,116 ns; min pulse +1,562 ns. Setup/hold TNS = 0 cả bốn corner. Fmax slow85 162.36 MHz.</x:v>
      </x:c>
      <x:c r="E47" s="12" t="str">
        <x:v>Biên setup 91 ps; kết luận theo constraints hiện hành. Fully constrained không thay thế đánh giá CDC hoặc entropy.</x:v>
      </x:c>
      <x:c r="F47" s="12" t="str">
        <x:v>D:/ML_KEM_768_1024/09_reports/architecture_tracking/A5_20261024_063318/mlkem_streaming_balanced_4bu_de10.sta.rpt</x:v>
      </x:c>
    </x:row>
    <x:row r="48" ht="110" customHeight="1">
      <x:c r="A48" s="12" t="str">
        <x:v>A5_20261024_063318</x:v>
      </x:c>
      <x:c r="B48" s="12" t="str">
        <x:v>Tài nguyên / nguồn</x:v>
      </x:c>
      <x:c r="C48" s="12" t="n">
        <x:v>36</x:v>
      </x:c>
      <x:c r="D48" s="12" t="str">
        <x:v>27.176 ALM; 37.911 registers; 239.320 RAM logic bit; 55 M10K; 40 DSP. 36 RTL khớp regression SHA256; QSF/SDC khớp.</x:v>
      </x:c>
      <x:c r="E48" s="12" t="str">
        <x:v>Toàn hệ thống gồm UART, RNG, KEM, AES-GCM. Tách tác động 4BU khỏi các tối ưu service/Keccak khi thảo luận speedup.</x:v>
      </x:c>
      <x:c r="F48" s="12" t="str">
        <x:v>D:/ML_KEM_768_1024/09_reports/architecture_tracking/A5_20261024_063318/tracker_evidence.json</x:v>
      </x:c>
    </x:row>
    <x:row r="49" ht="110" customHeight="1">
      <x:c r="A49" s="12" t="str">
        <x:v>A5_20261024_063318</x:v>
      </x:c>
      <x:c r="B49" s="12" t="str">
        <x:v>Warnings / CDC</x:v>
      </x:c>
      <x:c r="C49" s="12" t="n">
        <x:v>225</x:v>
      </x:c>
      <x:c r="D49" s="12" t="str">
        <x:v>{"10036":2,"15610":9,"15714":1,"21074":1,"177007":1,"292013":1,"332125":30,"332126":180}</x:v>
      </x:c>
      <x:c r="E49" s="12" t="str">
        <x:v>53 I/O thiếu drive/slew. Vòng tổ hợp đã đối chiếu đều trong u_trng; MTBF chưa tính. Không có số power đã đo.</x:v>
      </x:c>
      <x:c r="F49" s="12" t="str">
        <x:v>D:/ML_KEM_768_1024/09_reports/architecture_tracking/A5_20261024_063318</x:v>
      </x:c>
    </x:row>
    <x:row r="50" ht="110" customHeight="1">
      <x:c r="A50" s="12" t="str">
        <x:v>A5</x:v>
      </x:c>
      <x:c r="B50" s="12" t="str">
        <x:v>Regression và chu kỳ</x:v>
      </x:c>
      <x:c r="C50" s="12" t="n">
        <x:v>17</x:v>
      </x:c>
      <x:c r="D50" s="12" t="str">
        <x:v>A5_REGRESSION: PASS run=20261024_012050_666 tests=17 vendor_pll=4 host=2 negative_contract=1 INPUTS_UNCHANGED</x:v>
      </x:c>
      <x:c r="E50" s="12" t="str">
        <x:v>NTT/INTT 235 cycles; MultiplyNTTs 143. KEM lấy fixture chung, không dùng log demo ngẫu nhiên để so tốc độ.</x:v>
      </x:c>
      <x:c r="F50" s="12" t="str">
        <x:v>D:/ML_KEM_768_1024/09_reports/streaming_balanced_4bu/run_20261024_012050_666</x:v>
      </x:c>
    </x:row>
    <x:row r="51" ht="110" customHeight="1">
      <x:c r="A51" s="12" t="str">
        <x:v>A1</x:v>
      </x:c>
      <x:c r="B51" s="12" t="str">
        <x:v>Assembler lỗi ghi SOF</x:v>
      </x:c>
      <x:c r="C51" s="12" t="n">
        <x:v>210006</x:v>
      </x:c>
      <x:c r="D51" s="12" t="str">
        <x:v>Fit 06:35:30 thành công; Assembler 06:36:27 không ghi được mlkem_channel_de10.sof. STA trong output_files còn của 00:44, không thuộc fit này.</x:v>
      </x:c>
      <x:c r="E51" s="12" t="str">
        <x:v>SOF cũ đã chuyển vào backup; thử tạo/ghi đúng tên SOF thành công rồi xóa file thử. Chưa rõ nguyên nhân khóa file lúc lỗi. Người dùng chạy lại Assembler + STA.</x:v>
      </x:c>
      <x:c r="F51" s="12" t="str">
        <x:v>D:/ML_KEM_768_1024/09_reports/architecture_tracking/A1_ASSEMBLER_REPAIR_20261024.md</x:v>
      </x:c>
    </x:row>
    <x:row r="52" ht="110" customHeight="1">
      <x:c r="A52" s="12" t="str">
        <x:v>A1</x:v>
      </x:c>
      <x:c r="B52" s="12" t="str">
        <x:v>STA riêng trên fit mới</x:v>
      </x:c>
      <x:c r="C52" s="12" t="n">
        <x:v>4</x:v>
      </x:c>
      <x:c r="D52" s="12" t="str">
        <x:v>Slow85: setup +0,075 / hold +0,235 ns; slow0: +0,200 / +0,182; fast85: +2,348 / +0,162; fast0: +2,691 / +0,110. Pulse min +1,562 ns.</x:v>
      </x:c>
      <x:c r="E52" s="12" t="str">
        <x:v>Fit mới 24.882 ALM (+140), 36.341 registers (+99), 44 M10K/28 DSP không đổi. 33 RTL khớp regression đã PASS. Dòng A1 tổng hợp giữ lịch sử cũ tới khi hoàn tất flow.</x:v>
      </x:c>
      <x:c r="F52" s="12" t="str">
        <x:v>D:/ML_KEM_768_1024/09_reports/streaming_pingpong/timing_four_corners_20261024_065003</x:v>
      </x:c>
    </x:row>
    <x:row r="53" ht="120" customHeight="1">
      <x:c r="A53" s="12" t="str">
        <x:v>A0_20261024_000741</x:v>
      </x:c>
      <x:c r="B53" s="12" t="str">
        <x:v>Compile / STA cập nhật</x:v>
      </x:c>
      <x:c r="C53" s="12" t="n">
        <x:v>224</x:v>
      </x:c>
      <x:c r="D53" s="12" t="str">
        <x:v>24673 ALM; 35940 registers; 43 M10K; 28 DSP. Setup 0.02 ns / hold 0.145 ns. Flow successful; STA PASS.</x:v>
      </x:c>
      <x:c r="E53" s="12" t="str">
        <x:v>33/33 RTL khớp regression; SHA256 khớp regression; Assignments khớp regression. Power chưa đo; MTBF chưa xác nhận.</x:v>
      </x:c>
      <x:c r="F53" s="12" t="str">
        <x:v>D:/ML_KEM_768_1024/09_reports/architecture_tracking/A0_20261024_000741</x:v>
      </x:c>
    </x:row>
    <x:row r="54" ht="120" customHeight="1">
      <x:c r="A54" s="12" t="str">
        <x:v>A0_20261024_000741</x:v>
      </x:c>
      <x:c r="B54" s="12" t="str">
        <x:v>Cấu hình / cảnh báo</x:v>
      </x:c>
      <x:c r="C54" s="12" t="n">
        <x:v>33</x:v>
      </x:c>
      <x:c r="D54" s="12" t="str">
        <x:v>Seed 2; SYNTHESIS, ITERATIVE_BASELINE_TIMING_FIX</x:v>
      </x:c>
      <x:c r="E54" s="12" t="str">
        <x:v>{"10036":1,"15610":9,"15714":1,"21074":1,"177007":1,"292013":1,"332125":30,"332126":180}</x:v>
      </x:c>
      <x:c r="F54" s="12" t="str">
        <x:v>D:/ML_KEM_768_1024/09_reports/architecture_tracking/A0_20261024_000741/mlkem_iterative_baseline_de10.qsf</x:v>
      </x:c>
    </x:row>
    <x:row r="55" ht="120" customHeight="1">
      <x:c r="A55" s="12" t="str">
        <x:v>A1_20261024_075119</x:v>
      </x:c>
      <x:c r="B55" s="12" t="str">
        <x:v>Compile / STA cập nhật</x:v>
      </x:c>
      <x:c r="C55" s="12" t="n">
        <x:v>224</x:v>
      </x:c>
      <x:c r="D55" s="12" t="str">
        <x:v>24882 ALM; 36341 registers; 44 M10K; 28 DSP. Setup 0.075 ns / hold 0.11 ns. Flow successful; STA PASS.</x:v>
      </x:c>
      <x:c r="E55" s="12" t="str">
        <x:v>33/33 RTL khớp regression; SHA256 khớp regression; Assignments khớp regression. Power chưa đo; MTBF chưa xác nhận.</x:v>
      </x:c>
      <x:c r="F55" s="12" t="str">
        <x:v>D:/ML_KEM_768_1024/09_reports/architecture_tracking/A1_20261024_075119</x:v>
      </x:c>
    </x:row>
    <x:row r="56" ht="120" customHeight="1">
      <x:c r="A56" s="12" t="str">
        <x:v>A1_20261024_075119</x:v>
      </x:c>
      <x:c r="B56" s="12" t="str">
        <x:v>Cấu hình / cảnh báo</x:v>
      </x:c>
      <x:c r="C56" s="12" t="n">
        <x:v>33</x:v>
      </x:c>
      <x:c r="D56" s="12" t="str">
        <x:v>Seed 2; SYNTHESIS</x:v>
      </x:c>
      <x:c r="E56" s="12" t="str">
        <x:v>{"10036":1,"15610":9,"15714":1,"21074":1,"177007":1,"292013":1,"332125":30,"332126":180}</x:v>
      </x:c>
      <x:c r="F56" s="12" t="str">
        <x:v>D:/ML_KEM_768_1024/09_reports/architecture_tracking/A1_20261024_075119/mlkem_channel_de10.qsf</x:v>
      </x:c>
    </x:row>
    <x:row r="57" ht="120" customHeight="1">
      <x:c r="A57" s="12" t="str">
        <x:v>A2_20261024_075531</x:v>
      </x:c>
      <x:c r="B57" s="12" t="str">
        <x:v>Compile / STA cập nhật</x:v>
      </x:c>
      <x:c r="C57" s="12" t="n">
        <x:v>226</x:v>
      </x:c>
      <x:c r="D57" s="12" t="str">
        <x:v>25539 ALM; 36164 registers; 45 M10K; 28 DSP. Setup -0.173 ns / hold 0.113 ns. Flow successful; STA chưa đạt.</x:v>
      </x:c>
      <x:c r="E57" s="12" t="str">
        <x:v>34/34 RTL khớp regression; SHA256 khớp regression; Assignments khớp regression. Power chưa đo; MTBF chưa xác nhận.</x:v>
      </x:c>
      <x:c r="F57" s="12" t="str">
        <x:v>D:/ML_KEM_768_1024/09_reports/architecture_tracking/A2_20261024_075531</x:v>
      </x:c>
    </x:row>
    <x:row r="58" ht="120" customHeight="1">
      <x:c r="A58" s="12" t="str">
        <x:v>A2_20261024_075531</x:v>
      </x:c>
      <x:c r="B58" s="12" t="str">
        <x:v>Cấu hình / cảnh báo</x:v>
      </x:c>
      <x:c r="C58" s="12" t="n">
        <x:v>34</x:v>
      </x:c>
      <x:c r="D58" s="12" t="str">
        <x:v>Seed 2; SYNTHESIS, CONTINUOUS_BANKED_FAST_FRONTEND</x:v>
      </x:c>
      <x:c r="E58" s="12" t="str">
        <x:v>{"10036":1,"15610":9,"15714":1,"21074":1,"177007":1,"292013":1,"332125":30,"332126":180,"332148":2}</x:v>
      </x:c>
      <x:c r="F58" s="12" t="str">
        <x:v>D:/ML_KEM_768_1024/09_reports/architecture_tracking/A2_20261024_075531/mlkem_continuous_banked_de10.qsf</x:v>
      </x:c>
    </x:row>
    <x:row r="59" ht="120" customHeight="1">
      <x:c r="A59" s="12" t="str">
        <x:v>A3_20261024_072633</x:v>
      </x:c>
      <x:c r="B59" s="12" t="str">
        <x:v>Compile / STA cập nhật</x:v>
      </x:c>
      <x:c r="C59" s="12" t="n">
        <x:v>228</x:v>
      </x:c>
      <x:c r="D59" s="12" t="str">
        <x:v>27378 ALM; 37100 registers; 45 M10K; 28 DSP. Setup -0.508 ns / hold 0.133 ns. Flow successful; STA chưa đạt.</x:v>
      </x:c>
      <x:c r="E59" s="12" t="str">
        <x:v>34/34 RTL khớp regression; SHA256 khớp regression; Assignments khớp regression. Power chưa đo; MTBF chưa xác nhận.</x:v>
      </x:c>
      <x:c r="F59" s="12" t="str">
        <x:v>D:/ML_KEM_768_1024/09_reports/architecture_tracking/A3_20261024_072633</x:v>
      </x:c>
    </x:row>
    <x:row r="60" ht="120" customHeight="1">
      <x:c r="A60" s="12" t="str">
        <x:v>A3_20261024_072633</x:v>
      </x:c>
      <x:c r="B60" s="12" t="str">
        <x:v>Cấu hình / cảnh báo</x:v>
      </x:c>
      <x:c r="C60" s="12" t="n">
        <x:v>34</x:v>
      </x:c>
      <x:c r="D60" s="12" t="str">
        <x:v>Seed 2; SYNTHESIS, CONTINUOUS_BANKED_FAST_FRONTEND, CONTINUOUS_BANKED_CYCLE_OPT</x:v>
      </x:c>
      <x:c r="E60" s="12" t="str">
        <x:v>{"10036":3,"15610":9,"15714":1,"21074":1,"177007":1,"292013":1,"332125":30,"332126":180,"332148":2}</x:v>
      </x:c>
      <x:c r="F60" s="12" t="str">
        <x:v>D:/ML_KEM_768_1024/09_reports/architecture_tracking/A3_20261024_072633/mlkem_continuous_banked_cycle_opt_de10.qsf</x:v>
      </x:c>
    </x:row>
    <x:row r="61" ht="120" customHeight="1">
      <x:c r="A61" s="12" t="str">
        <x:v>A4_20261024_074341</x:v>
      </x:c>
      <x:c r="B61" s="12" t="str">
        <x:v>Compile / STA cập nhật</x:v>
      </x:c>
      <x:c r="C61" s="12" t="n">
        <x:v>227</x:v>
      </x:c>
      <x:c r="D61" s="12" t="str">
        <x:v>27014 ALM; 37248 registers; 45 M10K; 28 DSP. Setup -0.48 ns / hold 0.104 ns. Flow successful; STA chưa đạt.</x:v>
      </x:c>
      <x:c r="E61" s="12" t="str">
        <x:v>34/34 RTL khớp regression; SHA256 khớp regression; Assignments khớp regression. Power chưa đo; MTBF chưa xác nhận.</x:v>
      </x:c>
      <x:c r="F61" s="12" t="str">
        <x:v>D:/ML_KEM_768_1024/09_reports/architecture_tracking/A4_20261024_074341</x:v>
      </x:c>
    </x:row>
    <x:row r="62" ht="120" customHeight="1">
      <x:c r="A62" s="12" t="str">
        <x:v>A4_20261024_074341</x:v>
      </x:c>
      <x:c r="B62" s="12" t="str">
        <x:v>Cấu hình / cảnh báo</x:v>
      </x:c>
      <x:c r="C62" s="12" t="n">
        <x:v>34</x:v>
      </x:c>
      <x:c r="D62" s="12" t="str">
        <x:v>Seed 4; SYNTHESIS, CONTINUOUS_BANKED_FAST_FRONTEND, CONTINUOUS_BANKED_CYCLE_OPT, CONTINUOUS_BANKED_BYTE_STREAM_OPT, CONTINUOUS_BANKED_V2_TIMING_FIX</x:v>
      </x:c>
      <x:c r="E62" s="12" t="str">
        <x:v>{"10036":2,"15610":9,"15714":1,"21074":1,"177007":1,"292013":1,"332125":30,"332126":180,"332148":2}</x:v>
      </x:c>
      <x:c r="F62" s="12" t="str">
        <x:v>D:/ML_KEM_768_1024/09_reports/architecture_tracking/A4_20261024_074341/mlkem_continuous_banked_cycle_opt_v2_de10.qsf</x:v>
      </x:c>
    </x:row>
    <x:row r="63" ht="120" customHeight="1">
      <x:c r="A63" s="12" t="str">
        <x:v>A5_20261024_063318</x:v>
      </x:c>
      <x:c r="B63" s="12" t="str">
        <x:v>Compile / STA cập nhật</x:v>
      </x:c>
      <x:c r="C63" s="12" t="n">
        <x:v>225</x:v>
      </x:c>
      <x:c r="D63" s="12" t="str">
        <x:v>27176 ALM; 37911 registers; 55 M10K; 40 DSP. Setup 0.091 ns / hold 0.116 ns. Flow successful; STA PASS.</x:v>
      </x:c>
      <x:c r="E63" s="12" t="str">
        <x:v>36/36 RTL khớp regression; SHA256 khớp regression; Assignments khớp regression. Power chưa đo; MTBF chưa xác nhận.</x:v>
      </x:c>
      <x:c r="F63" s="12" t="str">
        <x:v>D:/ML_KEM_768_1024/09_reports/architecture_tracking/A5_20261024_063318</x:v>
      </x:c>
    </x:row>
    <x:row r="64" ht="120" customHeight="1">
      <x:c r="A64" s="12" t="str">
        <x:v>A5_20261024_063318</x:v>
      </x:c>
      <x:c r="B64" s="12" t="str">
        <x:v>Cấu hình / cảnh báo</x:v>
      </x:c>
      <x:c r="C64" s="12" t="n">
        <x:v>36</x:v>
      </x:c>
      <x:c r="D64" s="12" t="str">
        <x:v>Seed 4; SYNTHESIS, CONTINUOUS_BANKED_FAST_FRONTEND, CONTINUOUS_BANKED_CYCLE_OPT, CONTINUOUS_BANKED_BYTE_STREAM_OPT, CONTINUOUS_BANKED_V2_TIMING_FIX, MLKEM_STREAMING_BALANCED_4BU</x:v>
      </x:c>
      <x:c r="E64" s="12" t="str">
        <x:v>{"10036":2,"15610":9,"15714":1,"21074":1,"177007":1,"292013":1,"332125":30,"332126":180}</x:v>
      </x:c>
      <x:c r="F64" s="12" t="str">
        <x:v>D:/ML_KEM_768_1024/09_reports/architecture_tracking/A5_20261024_063318/mlkem_streaming_balanced_4bu_de10.qsf</x:v>
      </x:c>
    </x:row>
    <x:row r="65" ht="120" customHeight="1">
      <x:c r="A65" s="12" t="str">
        <x:v>A2V2_20261024_092107</x:v>
      </x:c>
      <x:c r="B65" s="12" t="str">
        <x:v>Compile / STA cập nhật</x:v>
      </x:c>
      <x:c r="C65" s="12" t="n">
        <x:v>217</x:v>
      </x:c>
      <x:c r="D65" s="12" t="str">
        <x:v>25690 ALM; 36463 registers; 45 M10K; 28 DSP. Setup -0.04 ns / hold 0.138 ns. Flow successful; STA chưa đạt.</x:v>
      </x:c>
      <x:c r="E65" s="12" t="str">
        <x:v>Chưa xác nhận với regression; Chưa đối chiếu; Snapshot cấu hình hiện tại. Power chưa đo; MTBF chưa xác nhận.</x:v>
      </x:c>
      <x:c r="F65" s="12" t="str">
        <x:v>D:/ML_KEM_768_1024/09_reports/architecture_tracking/A2V2_20261024_092107</x:v>
      </x:c>
    </x:row>
    <x:row r="66" ht="120" customHeight="1">
      <x:c r="A66" s="12" t="str">
        <x:v>A2V2_20261024_092107</x:v>
      </x:c>
      <x:c r="B66" s="12" t="str">
        <x:v>Cấu hình / cảnh báo</x:v>
      </x:c>
      <x:c r="C66" s="12" t="n">
        <x:v>35</x:v>
      </x:c>
      <x:c r="D66" s="12" t="str">
        <x:v>Seed 2; SYNTHESIS, CONTINUOUS_BANKED_FAST_FRONTEND, CONTINUOUS_BANKED_TRNG_VER2</x:v>
      </x:c>
      <x:c r="E66" s="12" t="str">
        <x:v>{"10036":1,"15610":9,"15714":1,"21074":1,"177007":1,"292013":1,"332049":2,"332125":18,"332126":180,"332148":1,"332174":2}</x:v>
      </x:c>
      <x:c r="F66" s="12" t="str">
        <x:v>D:/ML_KEM_768_1024/09_reports/architecture_tracking/A2V2_20261024_092107/mlkem_continuous_banked_de10_ver2.qsf</x:v>
      </x:c>
    </x:row>
    <x:row r="67" ht="120" customHeight="1">
      <x:c r="A67" s="12" t="str">
        <x:v>A2V3_20261024_092039</x:v>
      </x:c>
      <x:c r="B67" s="12" t="str">
        <x:v>Compile / STA cập nhật</x:v>
      </x:c>
      <x:c r="C67" s="12" t="n">
        <x:v>212</x:v>
      </x:c>
      <x:c r="D67" s="12" t="str">
        <x:v>26220 ALM; 36127 registers; 45 M10K; 28 DSP. Setup -0.177 ns / hold 0.133 ns. Flow successful; STA chưa đạt.</x:v>
      </x:c>
      <x:c r="E67" s="12" t="str">
        <x:v>Chưa xác nhận với regression; Chưa đối chiếu; Snapshot cấu hình hiện tại. Power chưa đo; MTBF chưa xác nhận.</x:v>
      </x:c>
      <x:c r="F67" s="12" t="str">
        <x:v>D:/ML_KEM_768_1024/09_reports/architecture_tracking/A2V3_20261024_092039</x:v>
      </x:c>
    </x:row>
    <x:row r="68" ht="120" customHeight="1">
      <x:c r="A68" s="12" t="str">
        <x:v>A2V3_20261024_092039</x:v>
      </x:c>
      <x:c r="B68" s="12" t="str">
        <x:v>Cấu hình / cảnh báo</x:v>
      </x:c>
      <x:c r="C68" s="12" t="n">
        <x:v>35</x:v>
      </x:c>
      <x:c r="D68" s="12" t="str">
        <x:v>Seed 2; SYNTHESIS, CONTINUOUS_BANKED_FAST_FRONTEND, CONTINUOUS_BANKED_BOARD_DEMO, CONTINUOUS_BANKED_TRNG_VER3</x:v>
      </x:c>
      <x:c r="E68" s="12" t="str">
        <x:v>{"10036":1,"15610":3,"15714":1,"21074":1,"177007":1,"292013":1,"332049":2,"332125":18,"332126":180,"332148":2,"332174":2}; BOARD_DEMO khác A2/ver2: cần cùng cấu hình trước khi kết luận tác động riêng TRNG.</x:v>
      </x:c>
      <x:c r="F68" s="12" t="str">
        <x:v>D:/ML_KEM_768_1024/09_reports/architecture_tracking/A2V3_20261024_092039/mlkem_continuous_banked_de10_ver3.qsf</x:v>
      </x:c>
    </x:row>
    <x:row r="69" ht="120" customHeight="1">
      <x:c r="A69" s="12" t="str">
        <x:v>KEYDEMO_20261021_150317</x:v>
      </x:c>
      <x:c r="B69" s="12" t="str">
        <x:v>Compile / STA cập nhật</x:v>
      </x:c>
      <x:c r="C69" s="12" t="n">
        <x:v>221</x:v>
      </x:c>
      <x:c r="D69" s="12" t="str">
        <x:v>27886 ALM; 38483 registers; 55 M10K; 40 DSP. Setup -0.334 ns / hold 0.138 ns. Flow successful; STA chưa đạt.</x:v>
      </x:c>
      <x:c r="E69" s="12" t="str">
        <x:v>Chưa xác nhận với regression; Chưa đối chiếu; Snapshot cấu hình hiện tại. Kết quả cũ 21/10, không gộp vào 6 mốc kiến trúc. Power chưa đo; MTBF chưa xác nhận.</x:v>
      </x:c>
      <x:c r="F69" s="12" t="str">
        <x:v>D:/ML_KEM_768_1024/09_reports/architecture_tracking/KEYDEMO_20261021_150317</x:v>
      </x:c>
    </x:row>
    <x:row r="70" ht="120" customHeight="1">
      <x:c r="A70" s="12" t="str">
        <x:v>KEYDEMO_20261021_150317</x:v>
      </x:c>
      <x:c r="B70" s="12" t="str">
        <x:v>Cấu hình / cảnh báo</x:v>
      </x:c>
      <x:c r="C70" s="12" t="n">
        <x:v>73</x:v>
      </x:c>
      <x:c r="D70" s="12" t="str">
        <x:v>Seed 4; SYNTHESIS, CONTINUOUS_BANKED_FAST_FRONTEND, CONTINUOUS_BANKED_CYCLE_OPT, CONTINUOUS_BANKED_BYTE_STREAM_OPT, CONTINUOUS_BANKED_V2_TIMING_FIX, CONTINUOUS_BANKED_BOARD_DEMO, SYNTHESIS, CONTINUOUS_BANKED_FAST_FRONTEND, CONTINUOUS_BANKED_CYCLE_OPT, CONTINUOUS_BANKED_BYTE_STREAM_OPT, CONTINUOUS_BANKED_V2_TIMING_FIX, CONTINUOUS_BANKED_BOARD_DEMO, MLKEM_STREAMING_BALANCED_4BU</x:v>
      </x:c>
      <x:c r="E70" s="12" t="str">
        <x:v>{"10036":2,"10335":1,"15610":2,"15714":1,"21074":1,"177007":1,"292013":1,"332125":30,"332126":180,"332148":2}</x:v>
      </x:c>
      <x:c r="F70" s="12" t="str">
        <x:v>D:/ML_KEM_768_1024/09_reports/architecture_tracking/KEYDEMO_20261021_150317/mlkem_streaming_balanced_4bu_keydemo.qsf</x:v>
      </x:c>
    </x:row>
    <x:row r="71" ht="120" customHeight="1">
      <x:c r="A71" s="12" t="str">
        <x:v>A2_20261025_054741</x:v>
      </x:c>
      <x:c r="B71" s="12" t="str">
        <x:v>Compile / STA mới</x:v>
      </x:c>
      <x:c r="C71" s="12" t="n">
        <x:v>227</x:v>
      </x:c>
      <x:c r="D71" s="12" t="str">
        <x:v>26760 ALM, 37818 registers, 45 M10K, 28 DSP. Setup -0.059 ns, hold 0.13 ns. Chưa đạt setup.</x:v>
      </x:c>
      <x:c r="E71" s="12" t="str">
        <x:v>34/34 RTL fit khớp regression. Power chưa đo. RTL sau bản fit này đã chỉnh để compile lại; chưa kết luận timing mới.</x:v>
      </x:c>
      <x:c r="F71" s="12" t="str">
        <x:v>D:/ML_KEM_768_1024/09_reports/architecture_tracking/A2_20261025_latest_before_consolidation</x:v>
      </x:c>
    </x:row>
    <x:row r="72" ht="120" customHeight="1">
      <x:c r="A72" s="12" t="str">
        <x:v>A2_20261025_054741</x:v>
      </x:c>
      <x:c r="B72" s="12" t="str">
        <x:v>Cảnh báo</x:v>
      </x:c>
      <x:c r="C72" s="12" t="n">
        <x:v>227</x:v>
      </x:c>
      <x:c r="D72" s="12" t="str">
        <x:v>{"10036":3,"15610":9,"15714":1,"21074":1,"177007":1,"292013":1,"332125":30,"332126":180,"332148":1}</x:v>
      </x:c>
      <x:c r="E72" s="12" t="str">
        <x:v>Các vòng RO là nguồn entropy có chủ đích. Đạt STA theo SDC không xác nhận chất lượng entropy hay MTBF.</x:v>
      </x:c>
      <x:c r="F72" s="12" t="str">
        <x:v>D:/ML_KEM_768_1024/09_reports/architecture_tracking/A2_20261025_latest_before_consolidation</x:v>
      </x:c>
    </x:row>
    <x:row r="73" ht="120" customHeight="1">
      <x:c r="A73" s="12" t="str">
        <x:v>A4_20261025_055016</x:v>
      </x:c>
      <x:c r="B73" s="12" t="str">
        <x:v>Compile / STA mới</x:v>
      </x:c>
      <x:c r="C73" s="12" t="n">
        <x:v>225</x:v>
      </x:c>
      <x:c r="D73" s="12" t="str">
        <x:v>28952 ALM, 38307 registers, 45 M10K, 28 DSP. Setup 0.006 ns, hold 0.127 ns. PASS 4 corners.</x:v>
      </x:c>
      <x:c r="E73" s="12" t="str">
        <x:v>34/34 RTL fit khớp regression. Power chưa đo. Đổi tên project từ opt_v2 thành opt; giữ mã A4 để tra lịch sử.</x:v>
      </x:c>
      <x:c r="F73" s="12" t="str">
        <x:v>D:/ML_KEM_768_1024/09_reports/architecture_tracking/A4_20261025_latest_before_consolidation</x:v>
      </x:c>
    </x:row>
    <x:row r="74" ht="120" customHeight="1">
      <x:c r="A74" s="12" t="str">
        <x:v>A4_20261025_055016</x:v>
      </x:c>
      <x:c r="B74" s="12" t="str">
        <x:v>Cảnh báo</x:v>
      </x:c>
      <x:c r="C74" s="12" t="n">
        <x:v>225</x:v>
      </x:c>
      <x:c r="D74" s="12" t="str">
        <x:v>{"10036":2,"15610":9,"15714":1,"21074":1,"177007":1,"292013":1,"332125":30,"332126":180}</x:v>
      </x:c>
      <x:c r="E74" s="12" t="str">
        <x:v>Các vòng RO là nguồn entropy có chủ đích. Đạt STA theo SDC không xác nhận chất lượng entropy hay MTBF.</x:v>
      </x:c>
      <x:c r="F74" s="12" t="str">
        <x:v>D:/ML_KEM_768_1024/09_reports/architecture_tracking/A4_20261025_latest_before_consolidation</x:v>
      </x:c>
    </x:row>
    <x:row r="75" ht="120" customHeight="1">
      <x:c r="A75" s="12" t="str">
        <x:v>A2_SIM_20261025_060103_737</x:v>
      </x:c>
      <x:c r="B75" s="12" t="str">
        <x:v>Regression sau chỉnh sửa</x:v>
      </x:c>
      <x:c r="C75" s="12" t="n">
        <x:v>18</x:v>
      </x:c>
      <x:c r="D75" s="12" t="str">
        <x:v>18 testbench RTL, 4 PLL vendor, 2 host tests, 1 negative contract đều PASS.</x:v>
      </x:c>
      <x:c r="E75" s="12" t="str">
        <x:v>24 service cases giữ nguyên kết quả và số chu kỳ. RTL hiện tại đã sửa, đang chờ fit mới.</x:v>
      </x:c>
      <x:c r="F75" s="12" t="str">
        <x:v>D:/ML_KEM_768_1024/09_reports/continuous_banked/run_20261025_060103_737</x:v>
      </x:c>
    </x:row>
    <x:row r="76" ht="120" customHeight="1">
      <x:c r="A76" s="12" t="str">
        <x:v>A4_SIM_20261025_060635_998</x:v>
      </x:c>
      <x:c r="B76" s="12" t="str">
        <x:v>Regression sau chỉnh sửa</x:v>
      </x:c>
      <x:c r="C76" s="12" t="n">
        <x:v>18</x:v>
      </x:c>
      <x:c r="D76" s="12" t="str">
        <x:v>18 testbench RTL, 4 PLL vendor, 2 host tests, 1 negative contract đều PASS.</x:v>
      </x:c>
      <x:c r="E76" s="12" t="str">
        <x:v>24 service cases giữ nguyên kết quả và số chu kỳ. 34/34 RTL giữ nguyên byte sau đổi tên A4.</x:v>
      </x:c>
      <x:c r="F76" s="12" t="str">
        <x:v>D:/ML_KEM_768_1024/09_reports/continuous_banked_cycle_opt/run_20261025_060635_998</x:v>
      </x:c>
    </x:row>
    <x:row r="77" ht="120" customHeight="1">
      <x:c r="A77" s="12" t="str">
        <x:v>20261025_CONSOLIDATE</x:v>
      </x:c>
      <x:c r="B77" s="12" t="str">
        <x:v>Dọn project</x:v>
      </x:c>
      <x:c r="C77" s="12" t="n">
        <x:v>3</x:v>
      </x:c>
      <x:c r="D77" s="12" t="str">
        <x:v>Lưu trữ Opt V1 và A2 TRNG ver2/ver3. Giữ A4 cũ V2 dưới tên cycle_opt.</x:v>
      </x:c>
      <x:c r="E77" s="12" t="str">
        <x:v>Các mã A3, A2V2, A2V3 trong bảng là lịch sử. Không đổi A4 thành A3 để tránh trộn kết quả. Bản SOF/report đạt timing gốc được giữ nguyên trong snapshot.</x:v>
      </x:c>
      <x:c r="F77" s="12" t="str">
        <x:v>D:/ML_KEM_768_1024/backups/a2_a4_consolidate_20261025_0550</x:v>
      </x:c>
    </x:row>
    <x:row r="78" ht="145" customHeight="1">
      <x:c r="A78" s="12" t="str">
        <x:v>SB2_20261025_063232</x:v>
      </x:c>
      <x:c r="B78" s="12" t="str">
        <x:v>Compile 2/8 BU</x:v>
      </x:c>
      <x:c r="C78" s="12" t="n">
        <x:v>228</x:v>
      </x:c>
      <x:c r="D78" s="12" t="str">
        <x:v>27017 ALM, 37370 registers, 49 M10K, 32 DSP. Setup -0.194 ns, hold 0.063 ns. Chưa đạt setup.</x:v>
      </x:c>
      <x:c r="E78" s="12" t="str">
        <x:v>459 chu kỳ NTT/INTT; 36/36 RTL khớp regression. Cùng seed 4, mục tiêu 160 MHz và SDC với 4BU.</x:v>
      </x:c>
      <x:c r="F78" s="12" t="str">
        <x:v>D:/ML_KEM_768_1024/09_reports/architecture_tracking/SB2_20261025_063232</x:v>
      </x:c>
    </x:row>
    <x:row r="79" ht="145" customHeight="1">
      <x:c r="A79" s="12" t="str">
        <x:v>SB2_SIM_20261025_051014_757</x:v>
      </x:c>
      <x:c r="B79" s="12" t="str">
        <x:v>Regression và chu kỳ</x:v>
      </x:c>
      <x:c r="C79" s="12" t="n">
        <x:v>17</x:v>
      </x:c>
      <x:c r="D79" s="12" t="str">
        <x:v>17 RTL benches, 4 PLL vendor, 2 host tests, 1 negative contract PASS. Cùng vector với 4BU.</x:v>
      </x:c>
      <x:c r="E79" s="12" t="str">
        <x:v>Không gồm thời gian UART/RNG bên ngoài service. Latency tại 160 MHz là quy đổi mục tiêu khi chưa đạt STA.</x:v>
      </x:c>
      <x:c r="F79" s="12" t="str">
        <x:v>D:/ML_KEM_768_1024/09_reports/streaming_balanced_2bu/run_20261025_051014_757</x:v>
      </x:c>
    </x:row>
    <x:row r="80" ht="145" customHeight="1">
      <x:c r="A80" s="12" t="str">
        <x:v>SB8_20261025_063630</x:v>
      </x:c>
      <x:c r="B80" s="12" t="str">
        <x:v>Compile 2/8 BU</x:v>
      </x:c>
      <x:c r="C80" s="12" t="n">
        <x:v>229</x:v>
      </x:c>
      <x:c r="D80" s="12" t="str">
        <x:v>28480 ALM, 38283 registers, 66 M10K, 56 DSP. Setup -0.512 ns, hold 0.102 ns. Chưa đạt setup.</x:v>
      </x:c>
      <x:c r="E80" s="12" t="str">
        <x:v>127 chu kỳ NTT/INTT; 36/36 RTL khớp regression. Cùng seed 4, mục tiêu 160 MHz và SDC với 4BU.</x:v>
      </x:c>
      <x:c r="F80" s="12" t="str">
        <x:v>D:/ML_KEM_768_1024/09_reports/architecture_tracking/SB8_20261025_063630</x:v>
      </x:c>
    </x:row>
    <x:row r="81" ht="145" customHeight="1">
      <x:c r="A81" s="12" t="str">
        <x:v>SB8_SIM_20261025_051014_919</x:v>
      </x:c>
      <x:c r="B81" s="12" t="str">
        <x:v>Regression và chu kỳ</x:v>
      </x:c>
      <x:c r="C81" s="12" t="n">
        <x:v>17</x:v>
      </x:c>
      <x:c r="D81" s="12" t="str">
        <x:v>17 RTL benches, 4 PLL vendor, 2 host tests, 1 negative contract PASS. Cùng vector với 4BU.</x:v>
      </x:c>
      <x:c r="E81" s="12" t="str">
        <x:v>Không gồm thời gian UART/RNG bên ngoài service. Latency tại 160 MHz là quy đổi mục tiêu khi chưa đạt STA.</x:v>
      </x:c>
      <x:c r="F81" s="12" t="str">
        <x:v>D:/ML_KEM_768_1024/09_reports/streaming_balanced_8bu/run_20261025_051014_919</x:v>
      </x:c>
    </x:row>
    <x:row r="82" ht="145" customHeight="1">
      <x:c r="A82" s="12" t="str">
        <x:v>A2_20261025_070821</x:v>
      </x:c>
      <x:c r="B82" s="12" t="str">
        <x:v>A2 fit mới trước sửa</x:v>
      </x:c>
      <x:c r="C82" s="12" t="n">
        <x:v>227</x:v>
      </x:c>
      <x:c r="D82" s="12" t="str">
        <x:v>26699 ALM, 37781 registers, 45 M10K, 28 DSP. Setup −0,081 ns, hold +0,110 ns. Seed 2.</x:v>
      </x:c>
      <x:c r="E82" s="12" t="str">
        <x:v>Các đường âm mới xuất phát từ reset_sync_n tới FSM service và dữ liệu RAM KDF. Lưu kết quả fit trước khi sửa; chưa kết luận timing bản RTL kế tiếp.</x:v>
      </x:c>
      <x:c r="F82" s="12" t="str">
        <x:v>D:/ML_KEM_768_1024/09_reports/architecture_tracking/A2_20261025_070821</x:v>
      </x:c>
    </x:row>
    <x:row r="83" ht="145" customHeight="1">
      <x:c r="A83" s="12" t="str">
        <x:v>A2_SIM_20261025_072151_908</x:v>
      </x:c>
      <x:c r="B83" s="12" t="str">
        <x:v>A2 regression sau sửa mới</x:v>
      </x:c>
      <x:c r="C83" s="12" t="n">
        <x:v>18</x:v>
      </x:c>
      <x:c r="D83" s="12" t="str">
        <x:v>18 RTL benches, 4 PLL vendor, 2 host tests, negative contract PASS. Giữ nguyên 24 service cases và chu kỳ.</x:v>
      </x:c>
      <x:c r="E83" s="12" t="str">
        <x:v>Sửa phân phối reset và cổng đọc GCM nội bộ cho KDF. Không thay seed 2, SDC hoặc thuật toán. Chờ Full Compilation để xác nhận timing mới.</x:v>
      </x:c>
      <x:c r="F83" s="12" t="str">
        <x:v>D:/ML_KEM_768_1024/09_reports/continuous_banked/run_20261025_072151_908</x:v>
      </x:c>
    </x:row>
    <x:row r="84" ht="145" customHeight="1">
      <x:c r="A84" s="12" t="str">
        <x:v>BU_20261025</x:v>
      </x:c>
      <x:c r="B84" s="12" t="str">
        <x:v>Lựa chọn 4BU</x:v>
      </x:c>
      <x:c r="C84" s="12" t="n">
        <x:v>3</x:v>
      </x:c>
      <x:c r="D84" s="12" t="str">
        <x:v>4BU/8 bank là lựa chọn cân bằng tối ưu trong ba cấu hình đã thử cho mục tiêu 160 MHz. So với 2BU, 4BU gần như giữ nguyên ALM và giảm gần một nửa số chu kỳ NTT/INTT. 2BU dùng ít DSP/M10K hơn, nhưng độ trễ lớn hơn và bản compile hiện tại chưa đạt setup. 8BU dùng thêm 40% DSP và 20% M10K so với 4BU, trong khi chu kỳ KEM chỉ giảm dưới 1%. 4BU đạt setup +0,091 ns; 2BU và 8BU lần lượt còn −0,194 ns và −0,512 ns. Vì vậy chọn 4BU để cân bằng tốc độ, tài nguyên và khả năng đáp ứng timing của hệ thống.</x:v>
      </x:c>
      <x:c r="E84" s="12" t="str">
        <x:v>Đây là kết luận từ ba bản fit FPGA hiện tại, cùng seed 4; chưa phải tối ưu toàn cục. NTT/INTT nhanh hơn không đồng nghĩa toàn bộ KEM tăng tốc cùng tỷ lệ. Power chưa đo. Chu kỳ lấy từ RTL với cùng fixture. Không coi latency 160 MHz của bản lỗi setup là đã đạt.</x:v>
      </x:c>
      <x:c r="F84" s="12" t="str">
        <x:v>D:/ML_KEM_768_1024/09_reports/architecture_tracking/BU_COMPILE_RESULTS_20261025.json</x:v>
      </x:c>
    </x:row>
    <x:row r="85" ht="130" customHeight="1">
      <x:c r="A85" s="12" t="str">
        <x:v>A2_20261025_080219</x:v>
      </x:c>
      <x:c r="B85" s="12" t="str">
        <x:v>A2 fit bị giảm timing</x:v>
      </x:c>
      <x:c r="C85" s="12" t="n">
        <x:v>228</x:v>
      </x:c>
      <x:c r="D85" s="12" t="str">
        <x:v>27.560 ALM, 37.708 registers, 45 M10K, 28 DSP. Setup −0,479 ns; TNS −25,510 ns; hold +0,123 ns.</x:v>
      </x:c>
      <x:c r="E85" s="12" t="str">
        <x:v>Bản có maxfan=32 trên reset_sync_n sinh 132 bản sao. Không dùng làm bản kết quả đạt timing.</x:v>
      </x:c>
      <x:c r="F85" s="12" t="str">
        <x:v>D:\ML_KEM_768_1024\09_reports\architecture_tracking\A2_20261025_080219</x:v>
      </x:c>
    </x:row>
    <x:row r="86" ht="130" customHeight="1">
      <x:c r="A86" s="12" t="str">
        <x:v>A2_SIM_20261025_080618_406</x:v>
      </x:c>
      <x:c r="B86" s="12" t="str">
        <x:v>A2 sửa lại và kiểm thử</x:v>
      </x:c>
      <x:c r="C86" s="12" t="n">
        <x:v>18</x:v>
      </x:c>
      <x:c r="D86" s="12" t="str">
        <x:v>Bỏ nhân bản reset toàn cục. Đăng ký bit chọn hướng trước mux khóa GCM; tách điều khiển UART/core.</x:v>
      </x:c>
      <x:c r="E86" s="12" t="str">
        <x:v>18 RTL benches, 4 PLL vendor, 2 host tests PASS. 24 service cases/cycles giữ nguyên. Seed 2 và SDC không đổi; cần Full Compilation.</x:v>
      </x:c>
      <x:c r="F86" s="12" t="str">
        <x:v>D:/ML_KEM_768_1024/09_reports/continuous_banked/run_20261025_080618_406</x:v>
      </x:c>
    </x:row>
    <x:row r="87" ht="130" customHeight="1">
      <x:c r="A87" s="12" t="str">
        <x:v>A2_20261025_084624</x:v>
      </x:c>
      <x:c r="B87" s="12" t="str">
        <x:v>A2 fit mới vẫn âm</x:v>
      </x:c>
      <x:c r="C87" s="12" t="n">
        <x:v>229</x:v>
      </x:c>
      <x:c r="D87" s="12" t="str">
        <x:v>27.378 ALM, 37.675 registers, 45 M10K, 28 DSP. Setup −0,501 ns; Slow85 TNS −14,112 ns; hold nhỏ nhất +0,080 ns.</x:v>
      </x:c>
      <x:c r="E87" s="12" t="str">
        <x:v>Keccak phase −0,501; canonical-check/counter −0,488; read-lane −0,456; hash-byte −0,290; KDF RAM enable −0,248 ns. Chưa đạt 160 MHz.</x:v>
      </x:c>
      <x:c r="F87" s="12" t="str">
        <x:v>D:\ML_KEM_768_1024\09_reports\architecture_tracking\A2_20261025_084624</x:v>
      </x:c>
    </x:row>
    <x:row r="88" ht="130" customHeight="1">
      <x:c r="A88" s="12" t="str">
        <x:v>A2_SIM_20261025_085959_024</x:v>
      </x:c>
      <x:c r="B88" s="12" t="str">
        <x:v>A2 sửa các cone vật lý</x:v>
      </x:c>
      <x:c r="C88" s="12" t="n">
        <x:v>18</x:v>
      </x:c>
      <x:c r="D88" s="12" t="str">
        <x:v>Thanh ghi pha Keccak theo lane; read-index lookahead; hash-index one-hot; tách modulus check khỏi bộ đếm; terminal khóa dự đoán; pipeline ghi RAM KDF.</x:v>
      </x:c>
      <x:c r="E88" s="12" t="str">
        <x:v>18 RTL benches, 4 PLL vendor, 2 host tests + bench KDF 46 ca PASS. 24 service cases/cycles giữ nguyên. Chỉ A2 đổi RTL; giữ QSF, SDC, 160 MHz, seed 2. Chờ Full Compilation.</x:v>
      </x:c>
      <x:c r="F88" s="12" t="str">
        <x:v>D:/ML_KEM_768_1024/09_reports/continuous_banked/run_20261025_085959_024
D:/ML_KEM_768_1024/09_reports/architecture_tracking/A2_kdf_write_pipeline_20261025.log</x:v>
      </x:c>
    </x:row>
    <x:row r="89" ht="130" customHeight="1">
      <x:c r="A89" s="12" t="str">
        <x:v>A2_20261025_094051</x:v>
      </x:c>
      <x:c r="B89" s="12" t="str">
        <x:v>Chốt kết quả A2, không sửa tiếp</x:v>
      </x:c>
      <x:c r="C89" s="12" t="n">
        <x:v>230</x:v>
      </x:c>
      <x:c r="D89" s="12" t="str">
        <x:v>27.857 ALM; 38.228 registers; 45 M10K; 28 DSP. Setup: Slow 85°C +0,007 ns, Slow 0°C −0,051 ns (TNS −0,092 ns). Hold min +0,121 ns.</x:v>
      </x:c>
      <x:c r="E89" s="12" t="str">
        <x:v>Full Compilation thành công, setup chưa đạt toàn bộ corner 160 MHz. Giữ kết quả so sánh kèm giới hạn timing theo yêu cầu. 34/34 RTL khớp regression PASS 085959; không chỉnh RTL hoặc chạy compile.</x:v>
      </x:c>
      <x:c r="F89" s="12" t="str">
        <x:v>D:\ML_KEM_768_1024\09_reports\architecture_tracking\A2_20261025_094051</x:v>
      </x:c>
    </x:row>
  </x:sheetData>
  <x:pageMargins left="0.7" right="0.7" top="0.75" bottom="0.75" header="0.3" footer="0.3"/>
  <x:tableParts count="1">
    <x:tablePart xmlns:r="http://schemas.openxmlformats.org/officeDocument/2006/relationships" r:id="R971253041c7b42d1"/>
  </x:tableParts>
</x:worksheet>
</file>

<file path=xl/worksheets/sheet6.xml><?xml version="1.0" encoding="utf-8"?>
<x:worksheet xmlns:x="http://schemas.openxmlformats.org/spreadsheetml/2006/main">
  <x:sheetPr>
    <x:tabColor rgb="FF243B58"/>
  </x:sheetPr>
  <x:sheetViews>
    <x:sheetView showGridLines="0" workbookViewId="0"/>
  </x:sheetViews>
  <x:sheetFormatPr defaultRowHeight="15"/>
  <x:cols>
    <x:col min="1" max="1" width="45" hidden="0" customWidth="1"/>
    <x:col min="2" max="2" width="24" hidden="0" customWidth="1"/>
    <x:col min="3" max="3" width="24" hidden="0" customWidth="1"/>
    <x:col min="4" max="4" width="24" hidden="0" customWidth="1"/>
  </x:cols>
  <x:sheetData>
    <x:row r="2">
      <x:c r="A2" s="32" t="str">
        <x:v>Lựa chọn số Butterfly Unit và bank nhớ</x:v>
      </x:c>
    </x:row>
    <x:row r="3">
      <x:c r="A3" s="1" t="str">
        <x:v>Cyclone V 5CSXFC6D6F31C6, toàn hệ thống, seed 4, mục tiêu 160 MHz.</x:v>
      </x:c>
    </x:row>
    <x:row r="5" ht="36" customHeight="1">
      <x:c r="A5" s="31" t="str">
        <x:v>Chỉ tiêu</x:v>
      </x:c>
      <x:c r="B5" s="31" t="str">
        <x:v>2BU / 4 bank</x:v>
      </x:c>
      <x:c r="C5" s="31" t="str">
        <x:v>4BU / 8 bank</x:v>
      </x:c>
      <x:c r="D5" s="31" t="str">
        <x:v>8BU / 16 bank</x:v>
      </x:c>
    </x:row>
    <x:row r="6" ht="30" customHeight="1">
      <x:c r="A6" s="12" t="str">
        <x:v>ALM</x:v>
      </x:c>
      <x:c r="B6" s="46" t="n">
        <x:f>VLOOKUP("SB2_20261025_063232",Compile!$A$6:$AO$205,9,FALSE)</x:f>
        <x:v>27017</x:v>
      </x:c>
      <x:c r="C6" s="46" t="n">
        <x:f>VLOOKUP("A5_20261024_063318",Compile!$A$6:$AO$205,9,FALSE)</x:f>
        <x:v>27176</x:v>
      </x:c>
      <x:c r="D6" s="46" t="n">
        <x:f>VLOOKUP("SB8_20261025_063630",Compile!$A$6:$AO$205,9,FALSE)</x:f>
        <x:v>28480</x:v>
      </x:c>
    </x:row>
    <x:row r="7" ht="30" customHeight="1">
      <x:c r="A7" s="12" t="str">
        <x:v>Registers</x:v>
      </x:c>
      <x:c r="B7" s="46" t="n">
        <x:f>VLOOKUP("SB2_20261025_063232",Compile!$A$6:$AO$205,14,FALSE)</x:f>
        <x:v>37370</x:v>
      </x:c>
      <x:c r="C7" s="46" t="n">
        <x:f>VLOOKUP("A5_20261024_063318",Compile!$A$6:$AO$205,14,FALSE)</x:f>
        <x:v>37911</x:v>
      </x:c>
      <x:c r="D7" s="46" t="n">
        <x:f>VLOOKUP("SB8_20261025_063630",Compile!$A$6:$AO$205,14,FALSE)</x:f>
        <x:v>38283</x:v>
      </x:c>
    </x:row>
    <x:row r="8" ht="30" customHeight="1">
      <x:c r="A8" s="12" t="str">
        <x:v>DSP</x:v>
      </x:c>
      <x:c r="B8" s="46" t="n">
        <x:f>VLOOKUP("SB2_20261025_063232",Compile!$A$6:$AO$205,25,FALSE)</x:f>
        <x:v>32</x:v>
      </x:c>
      <x:c r="C8" s="46" t="n">
        <x:f>VLOOKUP("A5_20261024_063318",Compile!$A$6:$AO$205,25,FALSE)</x:f>
        <x:v>40</x:v>
      </x:c>
      <x:c r="D8" s="46" t="n">
        <x:f>VLOOKUP("SB8_20261025_063630",Compile!$A$6:$AO$205,25,FALSE)</x:f>
        <x:v>56</x:v>
      </x:c>
    </x:row>
    <x:row r="9" ht="30" customHeight="1">
      <x:c r="A9" s="12" t="str">
        <x:v>M10K</x:v>
      </x:c>
      <x:c r="B9" s="46" t="n">
        <x:f>VLOOKUP("SB2_20261025_063232",Compile!$A$6:$AO$205,22,FALSE)</x:f>
        <x:v>49</x:v>
      </x:c>
      <x:c r="C9" s="46" t="n">
        <x:f>VLOOKUP("A5_20261024_063318",Compile!$A$6:$AO$205,22,FALSE)</x:f>
        <x:v>55</x:v>
      </x:c>
      <x:c r="D9" s="46" t="n">
        <x:f>VLOOKUP("SB8_20261025_063630",Compile!$A$6:$AO$205,22,FALSE)</x:f>
        <x:v>66</x:v>
      </x:c>
    </x:row>
    <x:row r="10" ht="30" customHeight="1">
      <x:c r="A10" s="12" t="str">
        <x:v>RAM logic (bit)</x:v>
      </x:c>
      <x:c r="B10" s="46" t="n">
        <x:f>VLOOKUP("SB2_20261025_063232",Compile!$A$6:$AO$205,20,FALSE)</x:f>
        <x:v>239008</x:v>
      </x:c>
      <x:c r="C10" s="46" t="n">
        <x:f>VLOOKUP("A5_20261024_063318",Compile!$A$6:$AO$205,20,FALSE)</x:f>
        <x:v>239320</x:v>
      </x:c>
      <x:c r="D10" s="46" t="n">
        <x:f>VLOOKUP("SB8_20261025_063630",Compile!$A$6:$AO$205,20,FALSE)</x:f>
        <x:v>239944</x:v>
      </x:c>
    </x:row>
    <x:row r="11" ht="30" customHeight="1">
      <x:c r="A11" s="12" t="str">
        <x:v>Setup WNS thấp nhất (ns)</x:v>
      </x:c>
      <x:c r="B11" s="47" t="n">
        <x:f>VLOOKUP("SB2",Tong_hop!$A$6:$L$15,8,FALSE)</x:f>
        <x:v>-0.194</x:v>
      </x:c>
      <x:c r="C11" s="47" t="n">
        <x:f>VLOOKUP("A5",Tong_hop!$A$6:$L$15,8,FALSE)</x:f>
        <x:v>0.091</x:v>
      </x:c>
      <x:c r="D11" s="47" t="n">
        <x:f>VLOOKUP("SB8",Tong_hop!$A$6:$L$15,8,FALSE)</x:f>
        <x:v>-0.512</x:v>
      </x:c>
    </x:row>
    <x:row r="12" ht="30" customHeight="1">
      <x:c r="A12" s="12" t="str">
        <x:v>Hold WNS thấp nhất (ns)</x:v>
      </x:c>
      <x:c r="B12" s="47" t="n">
        <x:f>VLOOKUP("SB2",Tong_hop!$A$6:$L$15,9,FALSE)</x:f>
        <x:v>0.063</x:v>
      </x:c>
      <x:c r="C12" s="47" t="n">
        <x:f>VLOOKUP("A5",Tong_hop!$A$6:$L$15,9,FALSE)</x:f>
        <x:v>0.116</x:v>
      </x:c>
      <x:c r="D12" s="47" t="n">
        <x:f>VLOOKUP("SB8",Tong_hop!$A$6:$L$15,9,FALSE)</x:f>
        <x:v>0.102</x:v>
      </x:c>
    </x:row>
    <x:row r="13" ht="30" customHeight="1">
      <x:c r="A13" s="12" t="str">
        <x:v>Setup TNS Slow 85°C (ns)</x:v>
      </x:c>
      <x:c r="B13" s="47" t="n">
        <x:f>INDEX(Timing!$E$6:$E$405,MATCH("SB2_20261025_063232",Timing!$A$6:$A$405,0))</x:f>
        <x:v>-4.761</x:v>
      </x:c>
      <x:c r="C13" s="47" t="n">
        <x:f>INDEX(Timing!$E$6:$E$405,MATCH("A5_20261024_063318",Timing!$A$6:$A$405,0))</x:f>
        <x:v>0</x:v>
      </x:c>
      <x:c r="D13" s="47" t="n">
        <x:f>INDEX(Timing!$E$6:$E$405,MATCH("SB8_20261025_063630",Timing!$A$6:$A$405,0))</x:f>
        <x:v>-7.037</x:v>
      </x:c>
    </x:row>
    <x:row r="14" ht="30" customHeight="1">
      <x:c r="A14" s="12" t="str">
        <x:v>Fmax Slow 85°C (MHz)</x:v>
      </x:c>
      <x:c r="B14" s="48" t="n">
        <x:f>INDEX(Timing!$J$6:$J$405,MATCH("SB2_20261025_063232",Timing!$A$6:$A$405,0))</x:f>
        <x:v>155.18</x:v>
      </x:c>
      <x:c r="C14" s="48" t="n">
        <x:f>INDEX(Timing!$J$6:$J$405,MATCH("A5_20261024_063318",Timing!$A$6:$A$405,0))</x:f>
        <x:v>162.36</x:v>
      </x:c>
      <x:c r="D14" s="48" t="n">
        <x:f>INDEX(Timing!$J$6:$J$405,MATCH("SB8_20261025_063630",Timing!$A$6:$A$405,0))</x:f>
        <x:v>147.89</x:v>
      </x:c>
    </x:row>
    <x:row r="15" ht="30" customHeight="1">
      <x:c r="A15" s="12" t="str">
        <x:v>NTT (chu kỳ)</x:v>
      </x:c>
      <x:c r="B15" s="46" t="n">
        <x:f>SUMIFS(Mo_phong!$F$20:$F$216,Mo_phong!$B$20:$B$216,"SB2",Mo_phong!$D$20:$D$216,"256 hệ số",Mo_phong!$E$20:$E$216,"NTT")</x:f>
        <x:v>459</x:v>
      </x:c>
      <x:c r="C15" s="46" t="n">
        <x:f>SUMIFS(Mo_phong!$F$20:$F$216,Mo_phong!$B$20:$B$216,"A5",Mo_phong!$D$20:$D$216,"256 hệ số",Mo_phong!$E$20:$E$216,"NTT")</x:f>
        <x:v>235</x:v>
      </x:c>
      <x:c r="D15" s="46" t="n">
        <x:f>SUMIFS(Mo_phong!$F$20:$F$216,Mo_phong!$B$20:$B$216,"SB8",Mo_phong!$D$20:$D$216,"256 hệ số",Mo_phong!$E$20:$E$216,"NTT")</x:f>
        <x:v>127</x:v>
      </x:c>
    </x:row>
    <x:row r="16" ht="30" customHeight="1">
      <x:c r="A16" s="12" t="str">
        <x:v>INTT (chu kỳ)</x:v>
      </x:c>
      <x:c r="B16" s="46" t="n">
        <x:f>SUMIFS(Mo_phong!$F$20:$F$216,Mo_phong!$B$20:$B$216,"SB2",Mo_phong!$D$20:$D$216,"256 hệ số",Mo_phong!$E$20:$E$216,"INTT")</x:f>
        <x:v>459</x:v>
      </x:c>
      <x:c r="C16" s="46" t="n">
        <x:f>SUMIFS(Mo_phong!$F$20:$F$216,Mo_phong!$B$20:$B$216,"A5",Mo_phong!$D$20:$D$216,"256 hệ số",Mo_phong!$E$20:$E$216,"INTT")</x:f>
        <x:v>235</x:v>
      </x:c>
      <x:c r="D16" s="46" t="n">
        <x:f>SUMIFS(Mo_phong!$F$20:$F$216,Mo_phong!$B$20:$B$216,"SB8",Mo_phong!$D$20:$D$216,"256 hệ số",Mo_phong!$E$20:$E$216,"INTT")</x:f>
        <x:v>127</x:v>
      </x:c>
    </x:row>
    <x:row r="17" ht="30" customHeight="1">
      <x:c r="A17" s="12" t="str">
        <x:v>KeyGen 768 (chu kỳ)</x:v>
      </x:c>
      <x:c r="B17" s="46" t="n">
        <x:f>SUMIFS(Mo_phong!$F$20:$F$216,Mo_phong!$B$20:$B$216,"SB2",Mo_phong!$D$20:$D$216,"768",Mo_phong!$E$20:$E$216,"KeyGen")</x:f>
        <x:v>72229</x:v>
      </x:c>
      <x:c r="C17" s="46" t="n">
        <x:f>SUMIFS(Mo_phong!$F$20:$F$216,Mo_phong!$B$20:$B$216,"A5",Mo_phong!$D$20:$D$216,"768",Mo_phong!$E$20:$E$216,"KeyGen")</x:f>
        <x:v>70885</x:v>
      </x:c>
      <x:c r="D17" s="46" t="n">
        <x:f>SUMIFS(Mo_phong!$F$20:$F$216,Mo_phong!$B$20:$B$216,"SB8",Mo_phong!$D$20:$D$216,"768",Mo_phong!$E$20:$E$216,"KeyGen")</x:f>
        <x:v>70237</x:v>
      </x:c>
    </x:row>
    <x:row r="18" ht="30" customHeight="1">
      <x:c r="A18" s="12" t="str">
        <x:v>Encaps 768 (chu kỳ)</x:v>
      </x:c>
      <x:c r="B18" s="46" t="n">
        <x:f>SUMIFS(Mo_phong!$F$20:$F$216,Mo_phong!$B$20:$B$216,"SB2",Mo_phong!$D$20:$D$216,"768",Mo_phong!$E$20:$E$216,"Encaps")</x:f>
        <x:v>95932</x:v>
      </x:c>
      <x:c r="C18" s="46" t="n">
        <x:f>SUMIFS(Mo_phong!$F$20:$F$216,Mo_phong!$B$20:$B$216,"A5",Mo_phong!$D$20:$D$216,"768",Mo_phong!$E$20:$E$216,"Encaps")</x:f>
        <x:v>94364</x:v>
      </x:c>
      <x:c r="D18" s="46" t="n">
        <x:f>SUMIFS(Mo_phong!$F$20:$F$216,Mo_phong!$B$20:$B$216,"SB8",Mo_phong!$D$20:$D$216,"768",Mo_phong!$E$20:$E$216,"Encaps")</x:f>
        <x:v>93608</x:v>
      </x:c>
    </x:row>
    <x:row r="19" ht="30" customHeight="1">
      <x:c r="A19" s="12" t="str">
        <x:v>Decaps 768 (chu kỳ)</x:v>
      </x:c>
      <x:c r="B19" s="46" t="n">
        <x:f>SUMIFS(Mo_phong!$F$20:$F$216,Mo_phong!$B$20:$B$216,"SB2",Mo_phong!$D$20:$D$216,"768",Mo_phong!$E$20:$E$216,"Decaps")</x:f>
        <x:v>132974</x:v>
      </x:c>
      <x:c r="C19" s="46" t="n">
        <x:f>SUMIFS(Mo_phong!$F$20:$F$216,Mo_phong!$B$20:$B$216,"A5",Mo_phong!$D$20:$D$216,"768",Mo_phong!$E$20:$E$216,"Decaps")</x:f>
        <x:v>130510</x:v>
      </x:c>
      <x:c r="D19" s="46" t="n">
        <x:f>SUMIFS(Mo_phong!$F$20:$F$216,Mo_phong!$B$20:$B$216,"SB8",Mo_phong!$D$20:$D$216,"768",Mo_phong!$E$20:$E$216,"Decaps")</x:f>
        <x:v>129322</x:v>
      </x:c>
    </x:row>
    <x:row r="20" ht="30" customHeight="1">
      <x:c r="A20" s="12" t="str">
        <x:v>KeyGen 1024 (chu kỳ)</x:v>
      </x:c>
      <x:c r="B20" s="46" t="n">
        <x:f>SUMIFS(Mo_phong!$F$20:$F$216,Mo_phong!$B$20:$B$216,"SB2",Mo_phong!$D$20:$D$216,"1024",Mo_phong!$E$20:$E$216,"KeyGen")</x:f>
        <x:v>114409</x:v>
      </x:c>
      <x:c r="C20" s="46" t="n">
        <x:f>SUMIFS(Mo_phong!$F$20:$F$216,Mo_phong!$B$20:$B$216,"A5",Mo_phong!$D$20:$D$216,"1024",Mo_phong!$E$20:$E$216,"KeyGen")</x:f>
        <x:v>112617</x:v>
      </x:c>
      <x:c r="D20" s="46" t="n">
        <x:f>SUMIFS(Mo_phong!$F$20:$F$216,Mo_phong!$B$20:$B$216,"SB8",Mo_phong!$D$20:$D$216,"1024",Mo_phong!$E$20:$E$216,"KeyGen")</x:f>
        <x:v>111753</x:v>
      </x:c>
    </x:row>
    <x:row r="21" ht="30" customHeight="1">
      <x:c r="A21" s="12" t="str">
        <x:v>Encaps 1024 (chu kỳ)</x:v>
      </x:c>
      <x:c r="B21" s="46" t="n">
        <x:f>SUMIFS(Mo_phong!$F$20:$F$216,Mo_phong!$B$20:$B$216,"SB2",Mo_phong!$D$20:$D$216,"1024",Mo_phong!$E$20:$E$216,"Encaps")</x:f>
        <x:v>143541</x:v>
      </x:c>
      <x:c r="C21" s="46" t="n">
        <x:f>SUMIFS(Mo_phong!$F$20:$F$216,Mo_phong!$B$20:$B$216,"A5",Mo_phong!$D$20:$D$216,"1024",Mo_phong!$E$20:$E$216,"Encaps")</x:f>
        <x:v>141525</x:v>
      </x:c>
      <x:c r="D21" s="46" t="n">
        <x:f>SUMIFS(Mo_phong!$F$20:$F$216,Mo_phong!$B$20:$B$216,"SB8",Mo_phong!$D$20:$D$216,"1024",Mo_phong!$E$20:$E$216,"Encaps")</x:f>
        <x:v>140553</x:v>
      </x:c>
    </x:row>
    <x:row r="22" ht="30" customHeight="1">
      <x:c r="A22" s="12" t="str">
        <x:v>Decaps 1024 (chu kỳ)</x:v>
      </x:c>
      <x:c r="B22" s="46" t="n">
        <x:f>SUMIFS(Mo_phong!$F$20:$F$216,Mo_phong!$B$20:$B$216,"SB2",Mo_phong!$D$20:$D$216,"1024",Mo_phong!$E$20:$E$216,"Decaps")</x:f>
        <x:v>190867</x:v>
      </x:c>
      <x:c r="C22" s="46" t="n">
        <x:f>SUMIFS(Mo_phong!$F$20:$F$216,Mo_phong!$B$20:$B$216,"A5",Mo_phong!$D$20:$D$216,"1024",Mo_phong!$E$20:$E$216,"Decaps")</x:f>
        <x:v>187731</x:v>
      </x:c>
      <x:c r="D22" s="46" t="n">
        <x:f>SUMIFS(Mo_phong!$F$20:$F$216,Mo_phong!$B$20:$B$216,"SB8",Mo_phong!$D$20:$D$216,"1024",Mo_phong!$E$20:$E$216,"Decaps")</x:f>
        <x:v>186219</x:v>
      </x:c>
    </x:row>
    <x:row r="23" ht="30" customHeight="1">
      <x:c r="A23" s="12" t="str">
        <x:v>STA tại 160 MHz</x:v>
      </x:c>
      <x:c r="B23" s="45" t="str">
        <x:f>VLOOKUP("SB2",Tong_hop!$A$6:$L$15,10,FALSE)</x:f>
        <x:v>Cần xử lý</x:v>
      </x:c>
      <x:c r="C23" s="45" t="str">
        <x:f>VLOOKUP("A5",Tong_hop!$A$6:$L$15,10,FALSE)</x:f>
        <x:v>PASS 4 corners</x:v>
      </x:c>
      <x:c r="D23" s="45" t="str">
        <x:f>VLOOKUP("SB8",Tong_hop!$A$6:$L$15,10,FALSE)</x:f>
        <x:v>Cần xử lý</x:v>
      </x:c>
    </x:row>
    <x:row r="26">
      <x:c r="A26" s="49" t="str">
        <x:v>Đổi tài nguyên và số chu kỳ giữa các cấu hình</x:v>
      </x:c>
    </x:row>
    <x:row r="28" ht="36" customHeight="1">
      <x:c r="A28" s="31" t="str">
        <x:v>Chỉ tiêu</x:v>
      </x:c>
      <x:c r="B28" s="31" t="str">
        <x:v>Từ 2BU lên 4BU</x:v>
      </x:c>
      <x:c r="C28" s="31" t="str">
        <x:v>Từ 4BU lên 8BU</x:v>
      </x:c>
    </x:row>
    <x:row r="29" ht="30" customHeight="1">
      <x:c r="A29" s="12" t="str">
        <x:v>ALM tăng</x:v>
      </x:c>
      <x:c r="B29" s="16" t="n">
        <x:f>C6/B6-1</x:f>
        <x:v>0.005885183403042449</x:v>
      </x:c>
      <x:c r="C29" s="16" t="n">
        <x:f>D6/C6-1</x:f>
        <x:v>0.04798351486605834</x:v>
      </x:c>
    </x:row>
    <x:row r="30" ht="30" customHeight="1">
      <x:c r="A30" s="12" t="str">
        <x:v>DSP tăng</x:v>
      </x:c>
      <x:c r="B30" s="16" t="n">
        <x:f>C8/B8-1</x:f>
        <x:v>0.25</x:v>
      </x:c>
      <x:c r="C30" s="16" t="n">
        <x:f>D8/C8-1</x:f>
        <x:v>0.3999999999999999</x:v>
      </x:c>
    </x:row>
    <x:row r="31" ht="30" customHeight="1">
      <x:c r="A31" s="12" t="str">
        <x:v>M10K tăng</x:v>
      </x:c>
      <x:c r="B31" s="16" t="n">
        <x:f>C9/B9-1</x:f>
        <x:v>0.12244897959183665</x:v>
      </x:c>
      <x:c r="C31" s="16" t="n">
        <x:f>D9/C9-1</x:f>
        <x:v>0.19999999999999996</x:v>
      </x:c>
    </x:row>
    <x:row r="32" ht="30" customHeight="1">
      <x:c r="A32" s="12" t="str">
        <x:v>NTT giảm chu kỳ</x:v>
      </x:c>
      <x:c r="B32" s="16" t="n">
        <x:f>1-C15/B15</x:f>
        <x:v>0.4880174291938998</x:v>
      </x:c>
      <x:c r="C32" s="16" t="n">
        <x:f>1-D15/C15</x:f>
        <x:v>0.4595744680851064</x:v>
      </x:c>
    </x:row>
    <x:row r="33" ht="30" customHeight="1">
      <x:c r="A33" s="12" t="str">
        <x:v>KEM giảm chu kỳ thấp nhất</x:v>
      </x:c>
      <x:c r="B33" s="16" t="n">
        <x:f>MIN(1-C17/B17,1-C18/B18,1-C19/B19,1-C20/B20,1-C21/B21,1-C22/B22)</x:f>
        <x:v>0.014044767697034333</x:v>
      </x:c>
      <x:c r="C33" s="16" t="n">
        <x:f>MIN(1-D17/C17,1-D18/C18,1-D19/C19,1-D20/C20,1-D21/C21,1-D22/C22)</x:f>
        <x:v>0.0068680445151033664</x:v>
      </x:c>
    </x:row>
    <x:row r="34" ht="30" customHeight="1">
      <x:c r="A34" s="12" t="str">
        <x:v>KEM giảm chu kỳ cao nhất</x:v>
      </x:c>
      <x:c r="B34" s="16" t="n">
        <x:f>MAX(1-C17/B17,1-C18/B18,1-C19/B19,1-C20/B20,1-C21/B21,1-C22/B22)</x:f>
        <x:v>0.018607484528375018</x:v>
      </x:c>
      <x:c r="C34" s="16" t="n">
        <x:f>MAX(1-D17/C17,1-D18/C18,1-D19/C19,1-D20/C20,1-D21/C21,1-D22/C22)</x:f>
        <x:v>0.009141567327361266</x:v>
      </x:c>
    </x:row>
    <x:row r="37">
      <x:c r="A37" s="49" t="str">
        <x:v>Phân tích đơn giản</x:v>
      </x:c>
    </x:row>
    <x:row r="39" ht="25" customHeight="1">
      <x:c r="A39" s="50" t="str">
        <x:v>4BU/8 bank là lựa chọn cân bằng tối ưu trong ba cấu hình đã thử cho mục tiêu 160 MHz.</x:v>
      </x:c>
      <x:c r="B39" s="50"/>
      <x:c r="C39" s="50"/>
      <x:c r="D39" s="50"/>
    </x:row>
    <x:row r="40" ht="25" customHeight="1">
      <x:c r="A40" s="50" t="str">
        <x:v>So với 2BU, 4BU gần như giữ nguyên ALM và giảm gần một nửa số chu kỳ NTT/INTT.</x:v>
      </x:c>
      <x:c r="B40" s="50"/>
      <x:c r="C40" s="50"/>
      <x:c r="D40" s="50"/>
    </x:row>
    <x:row r="41" ht="25" customHeight="1">
      <x:c r="A41" s="50" t="str">
        <x:v>2BU dùng ít DSP/M10K hơn, nhưng độ trễ lớn hơn và bản compile hiện tại chưa đạt setup.</x:v>
      </x:c>
      <x:c r="B41" s="50"/>
      <x:c r="C41" s="50"/>
      <x:c r="D41" s="50"/>
    </x:row>
    <x:row r="42" ht="25" customHeight="1">
      <x:c r="A42" s="50" t="str">
        <x:v>8BU dùng thêm 40% DSP và 20% M10K so với 4BU, trong khi chu kỳ KEM chỉ giảm dưới 1%.</x:v>
      </x:c>
      <x:c r="B42" s="50"/>
      <x:c r="C42" s="50"/>
      <x:c r="D42" s="50"/>
    </x:row>
    <x:row r="43" ht="25" customHeight="1">
      <x:c r="A43" s="50" t="str">
        <x:v>4BU đạt setup +0,091 ns; 2BU và 8BU lần lượt còn −0,194 ns và −0,512 ns.</x:v>
      </x:c>
      <x:c r="B43" s="50"/>
      <x:c r="C43" s="50"/>
      <x:c r="D43" s="50"/>
    </x:row>
    <x:row r="44" ht="25" customHeight="1">
      <x:c r="A44" s="50" t="str">
        <x:v>Vì vậy chọn 4BU để cân bằng tốc độ, tài nguyên và khả năng đáp ứng timing của hệ thống.</x:v>
      </x:c>
      <x:c r="B44" s="50"/>
      <x:c r="C44" s="50"/>
      <x:c r="D44" s="50"/>
    </x:row>
    <x:row r="45" ht="25" customHeight="1">
      <x:c r="A45" s="50" t="str">
        <x:v>Đây là kết luận từ ba bản fit FPGA hiện tại, cùng seed 4; chưa phải tối ưu toàn cục.</x:v>
      </x:c>
      <x:c r="B45" s="50"/>
      <x:c r="C45" s="50"/>
      <x:c r="D45" s="50"/>
    </x:row>
    <x:row r="46" ht="25" customHeight="1">
      <x:c r="A46" s="50" t="str">
        <x:v>NTT/INTT nhanh hơn không đồng nghĩa toàn bộ KEM tăng tốc cùng tỷ lệ. Power chưa đo.</x:v>
      </x:c>
      <x:c r="B46" s="50"/>
      <x:c r="C46" s="50"/>
      <x:c r="D46" s="50"/>
    </x:row>
    <x:row r="47" ht="25" customHeight="1">
      <x:c r="A47" s="50" t="str">
        <x:v>Chu kỳ lấy từ RTL với cùng fixture. Không coi latency 160 MHz của bản lỗi setup là đã đạt.</x:v>
      </x:c>
      <x:c r="B47" s="50"/>
      <x:c r="C47" s="50"/>
      <x:c r="D47" s="50"/>
    </x:row>
    <x:row r="50" ht="25" customHeight="1">
      <x:c r="A50" s="1" t="str">
        <x:v>Tài nguyên tính cho toàn hệ thống UART/RNG/KEM/AES-GCM; không phải riêng NTT hay kết quả ASIC.</x:v>
      </x:c>
      <x:c r="B50" s="1"/>
      <x:c r="C50" s="1"/>
      <x:c r="D50" s="1"/>
    </x:row>
  </x:sheetData>
  <x:conditionalFormatting sqref="B11:D13">
    <x:cfRule type="cellIs" dxfId="42" priority="1" operator="lessThan">
      <x:formula>0</x:formula>
    </x:cfRule>
  </x:conditionalFormatting>
  <x:pageMargins left="0.7" right="0.7" top="0.75" bottom="0.75" header="0.3" footer="0.3"/>
  <x:tableParts count="2">
    <x:tablePart xmlns:r="http://schemas.openxmlformats.org/officeDocument/2006/relationships" r:id="Rad4ab7a764c24818"/>
    <x:tablePart xmlns:r="http://schemas.openxmlformats.org/officeDocument/2006/relationships" r:id="R9b20e85cdb9343d0"/>
  </x:tableParts>
</x:worksheet>
</file>